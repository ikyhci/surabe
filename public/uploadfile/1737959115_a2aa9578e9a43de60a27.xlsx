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rifkihidayat/Downloads/"/>
    </mc:Choice>
  </mc:AlternateContent>
  <xr:revisionPtr revIDLastSave="0" documentId="13_ncr:1_{2967A011-E9CF-CE4F-8F67-50FC440E5382}" xr6:coauthVersionLast="47" xr6:coauthVersionMax="47" xr10:uidLastSave="{00000000-0000-0000-0000-000000000000}"/>
  <bookViews>
    <workbookView xWindow="0" yWindow="660" windowWidth="28800" windowHeight="17980" activeTab="2" xr2:uid="{8CC53F8F-8AB5-4B5A-9857-05DA3126C579}"/>
  </bookViews>
  <sheets>
    <sheet name="DASHBOARD IRB PD" sheetId="4" r:id="rId1"/>
    <sheet name="INSTRUMEN INDIKATOR" sheetId="2" r:id="rId2"/>
    <sheet name="INDIKATOR EVALUASI SPBE OPD" sheetId="5" r:id="rId3"/>
  </sheets>
  <definedNames>
    <definedName name="_xlnm.Print_Area" localSheetId="0">'DASHBOARD IRB PD'!$A$1:$J$31</definedName>
    <definedName name="_xlnm.Print_Area" localSheetId="1">'INSTRUMEN INDIKATOR'!$A$1:$M$170</definedName>
    <definedName name="_xlnm.Print_Titles" localSheetId="0">'DASHBOARD IRB PD'!$1:$2</definedName>
    <definedName name="_xlnm.Print_Titles" localSheetId="1">'INSTRUMEN INDIKATOR'!$1:$2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1" i="5" l="1"/>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G5" i="5"/>
  <c r="G4" i="5"/>
  <c r="G3" i="5"/>
  <c r="K72" i="2"/>
  <c r="K73" i="2"/>
  <c r="K74" i="2"/>
  <c r="K75" i="2"/>
  <c r="K76" i="2"/>
  <c r="K77" i="2"/>
  <c r="K78" i="2"/>
  <c r="K79" i="2"/>
  <c r="K80" i="2"/>
  <c r="K71" i="2"/>
  <c r="K82" i="2"/>
  <c r="K83" i="2"/>
  <c r="K84" i="2"/>
  <c r="K85" i="2"/>
  <c r="K86" i="2"/>
  <c r="K88" i="2"/>
  <c r="K89" i="2"/>
  <c r="K90" i="2"/>
  <c r="K91" i="2"/>
  <c r="K92" i="2"/>
  <c r="K93" i="2"/>
  <c r="K95" i="2"/>
  <c r="K96" i="2"/>
  <c r="K97" i="2"/>
  <c r="K98" i="2"/>
  <c r="K100" i="2"/>
  <c r="K101" i="2"/>
  <c r="K102" i="2"/>
  <c r="K103" i="2"/>
  <c r="K105" i="2"/>
  <c r="K106" i="2"/>
  <c r="K107" i="2"/>
  <c r="K57" i="2"/>
  <c r="K56" i="2"/>
  <c r="K59" i="2"/>
  <c r="K58" i="2"/>
  <c r="G55" i="2"/>
  <c r="K55" i="2"/>
  <c r="K36" i="2"/>
  <c r="K35" i="2"/>
  <c r="K34" i="2"/>
  <c r="K33" i="2"/>
  <c r="K32" i="2"/>
  <c r="K31" i="2"/>
  <c r="K30" i="2"/>
  <c r="K29" i="2"/>
  <c r="K28" i="2"/>
  <c r="K27" i="2"/>
  <c r="K26" i="2"/>
  <c r="K25" i="2"/>
  <c r="K24" i="2"/>
  <c r="K23" i="2"/>
  <c r="K41" i="2"/>
  <c r="K40" i="2"/>
  <c r="K39" i="2"/>
  <c r="K38" i="2"/>
  <c r="K21" i="2"/>
  <c r="K20" i="2"/>
  <c r="K19" i="2"/>
  <c r="K18" i="2"/>
  <c r="K17" i="2"/>
  <c r="K16" i="2"/>
  <c r="K15" i="2"/>
  <c r="K14" i="2"/>
  <c r="K13" i="2"/>
  <c r="K12" i="2"/>
  <c r="K11" i="2"/>
  <c r="K10" i="2"/>
  <c r="K9" i="2"/>
  <c r="K8" i="2"/>
  <c r="K7" i="2"/>
  <c r="K169" i="2"/>
  <c r="K168" i="2"/>
  <c r="K167" i="2"/>
  <c r="F30" i="4"/>
  <c r="G30" i="4"/>
  <c r="H30" i="4"/>
  <c r="K166" i="2"/>
  <c r="K165" i="2"/>
  <c r="K164" i="2"/>
  <c r="F29" i="4"/>
  <c r="G29" i="4"/>
  <c r="H29" i="4"/>
  <c r="K163" i="2"/>
  <c r="K162" i="2"/>
  <c r="K161" i="2"/>
  <c r="F28" i="4"/>
  <c r="G28" i="4"/>
  <c r="H28" i="4"/>
  <c r="K159" i="2"/>
  <c r="K158" i="2"/>
  <c r="K157" i="2"/>
  <c r="F26" i="4"/>
  <c r="G26" i="4"/>
  <c r="H26" i="4"/>
  <c r="K156" i="2"/>
  <c r="K155" i="2"/>
  <c r="K154" i="2"/>
  <c r="F25" i="4"/>
  <c r="K151" i="2"/>
  <c r="K150" i="2"/>
  <c r="K149" i="2"/>
  <c r="K148" i="2"/>
  <c r="K147" i="2"/>
  <c r="K146" i="2"/>
  <c r="F21" i="4"/>
  <c r="G21" i="4"/>
  <c r="H21" i="4"/>
  <c r="K144" i="2"/>
  <c r="K143" i="2"/>
  <c r="K142" i="2"/>
  <c r="K141" i="2"/>
  <c r="K138" i="2"/>
  <c r="K137" i="2"/>
  <c r="K136" i="2"/>
  <c r="K135" i="2"/>
  <c r="K134" i="2"/>
  <c r="K133" i="2"/>
  <c r="K130" i="2"/>
  <c r="K129" i="2"/>
  <c r="K128" i="2"/>
  <c r="F17" i="4"/>
  <c r="G17" i="4"/>
  <c r="H17" i="4"/>
  <c r="K123" i="2"/>
  <c r="K122" i="2"/>
  <c r="K121" i="2"/>
  <c r="K120" i="2"/>
  <c r="K118" i="2"/>
  <c r="K117" i="2"/>
  <c r="K115" i="2"/>
  <c r="K113" i="2"/>
  <c r="K112" i="2"/>
  <c r="K111" i="2"/>
  <c r="K110" i="2"/>
  <c r="K68" i="2"/>
  <c r="K67" i="2"/>
  <c r="K65" i="2"/>
  <c r="K64" i="2"/>
  <c r="K63" i="2"/>
  <c r="F11" i="4"/>
  <c r="G11" i="4"/>
  <c r="H11" i="4"/>
  <c r="K62" i="2"/>
  <c r="K61" i="2"/>
  <c r="K54" i="2"/>
  <c r="K53" i="2"/>
  <c r="K50" i="2"/>
  <c r="K49" i="2"/>
  <c r="K48" i="2"/>
  <c r="F7" i="4"/>
  <c r="G7" i="4"/>
  <c r="H7" i="4"/>
  <c r="G167" i="2"/>
  <c r="G164" i="2"/>
  <c r="G161" i="2"/>
  <c r="G157" i="2"/>
  <c r="G154" i="2"/>
  <c r="G149" i="2"/>
  <c r="G146" i="2"/>
  <c r="G131" i="2"/>
  <c r="K127" i="2"/>
  <c r="K126" i="2"/>
  <c r="K125" i="2"/>
  <c r="G119" i="2"/>
  <c r="G66" i="2"/>
  <c r="G63" i="2"/>
  <c r="G60" i="2"/>
  <c r="G52" i="2"/>
  <c r="G51" i="2"/>
  <c r="G49" i="2"/>
  <c r="G48" i="2"/>
  <c r="G43" i="2"/>
  <c r="G42" i="2"/>
  <c r="K45" i="2"/>
  <c r="K46" i="2"/>
  <c r="K47" i="2"/>
  <c r="K44" i="2"/>
  <c r="E24" i="4"/>
  <c r="E13" i="4"/>
  <c r="E4" i="4"/>
  <c r="G5" i="2"/>
  <c r="K60" i="2"/>
  <c r="F10" i="4"/>
  <c r="G10" i="4"/>
  <c r="H10" i="4"/>
  <c r="K87" i="2"/>
  <c r="K99" i="2"/>
  <c r="K81" i="2"/>
  <c r="K94" i="2"/>
  <c r="K104" i="2"/>
  <c r="G145" i="2"/>
  <c r="G153" i="2"/>
  <c r="G160" i="2"/>
  <c r="K145" i="2"/>
  <c r="K153" i="2"/>
  <c r="F22" i="4"/>
  <c r="G22" i="4"/>
  <c r="G27" i="4"/>
  <c r="E27" i="4"/>
  <c r="H27" i="4"/>
  <c r="G25" i="4"/>
  <c r="K52" i="2"/>
  <c r="K109" i="2"/>
  <c r="K66" i="2"/>
  <c r="F12" i="4"/>
  <c r="G12" i="4"/>
  <c r="H12" i="4"/>
  <c r="K114" i="2"/>
  <c r="K124" i="2"/>
  <c r="K119" i="2"/>
  <c r="F16" i="4"/>
  <c r="G16" i="4"/>
  <c r="H16" i="4"/>
  <c r="G4" i="2"/>
  <c r="K43" i="2"/>
  <c r="K42" i="2"/>
  <c r="F6" i="4"/>
  <c r="G6" i="4"/>
  <c r="H6" i="4"/>
  <c r="K70" i="2"/>
  <c r="G152" i="2"/>
  <c r="G20" i="4"/>
  <c r="H22" i="4"/>
  <c r="G24" i="4"/>
  <c r="H24" i="4"/>
  <c r="H25" i="4"/>
  <c r="G23" i="4"/>
  <c r="E23" i="4"/>
  <c r="H23" i="4"/>
  <c r="K37" i="2"/>
  <c r="K140" i="2"/>
  <c r="K139" i="2"/>
  <c r="F19" i="4"/>
  <c r="G19" i="4"/>
  <c r="H19" i="4"/>
  <c r="K132" i="2"/>
  <c r="K131" i="2"/>
  <c r="E20" i="4"/>
  <c r="H20" i="4"/>
  <c r="F18" i="4"/>
  <c r="G18" i="4"/>
  <c r="H18" i="4"/>
  <c r="K6" i="2"/>
  <c r="K22" i="2"/>
  <c r="K5" i="2"/>
  <c r="F5" i="4"/>
  <c r="E3" i="4"/>
  <c r="E31" i="4"/>
  <c r="G5" i="4"/>
  <c r="H5" i="4"/>
  <c r="K160" i="2"/>
  <c r="K152" i="2"/>
  <c r="F9" i="4"/>
  <c r="G9" i="4"/>
  <c r="H9" i="4"/>
  <c r="K51" i="2"/>
  <c r="F8" i="4"/>
  <c r="G8" i="4"/>
  <c r="H8" i="4"/>
  <c r="K4" i="2"/>
  <c r="G4" i="4"/>
  <c r="H4" i="4"/>
  <c r="K116" i="2"/>
  <c r="F14" i="4"/>
  <c r="G14" i="4"/>
  <c r="H14" i="4"/>
  <c r="G108" i="2"/>
  <c r="G69" i="2"/>
  <c r="G3" i="2"/>
  <c r="G170" i="2"/>
  <c r="K108" i="2"/>
  <c r="F15" i="4"/>
  <c r="G15" i="4"/>
  <c r="H15" i="4"/>
  <c r="K69" i="2"/>
  <c r="K3" i="2"/>
  <c r="K170" i="2"/>
  <c r="G13" i="4"/>
  <c r="G3" i="4"/>
  <c r="H3" i="4"/>
  <c r="H13" i="4"/>
  <c r="G31" i="4"/>
  <c r="H31" i="4"/>
  <c r="K6" i="5" l="1"/>
  <c r="K5" i="5" s="1"/>
  <c r="K4" i="5" s="1"/>
  <c r="K3"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D70" authorId="0" shapeId="0" xr:uid="{F4E2F558-25AF-429B-ABC0-6959256C66A1}">
      <text>
        <r>
          <rPr>
            <b/>
            <sz val="9"/>
            <color indexed="81"/>
            <rFont val="Tahoma"/>
            <family val="2"/>
          </rPr>
          <t>Asus:</t>
        </r>
        <r>
          <rPr>
            <sz val="9"/>
            <color indexed="81"/>
            <rFont val="Tahoma"/>
            <family val="2"/>
          </rPr>
          <t xml:space="preserve">
</t>
        </r>
      </text>
    </comment>
  </commentList>
</comments>
</file>

<file path=xl/sharedStrings.xml><?xml version="1.0" encoding="utf-8"?>
<sst xmlns="http://schemas.openxmlformats.org/spreadsheetml/2006/main" count="1190" uniqueCount="478">
  <si>
    <t>Indikator Penilaian</t>
  </si>
  <si>
    <t>Bobot Nilai</t>
  </si>
  <si>
    <t>Penjelasan/Parameter/Instrumen Evaluasi</t>
  </si>
  <si>
    <t>Pilihan Jawaban</t>
  </si>
  <si>
    <t>Jawaban</t>
  </si>
  <si>
    <t>Nilai</t>
  </si>
  <si>
    <t>Bukti Dukung</t>
  </si>
  <si>
    <t xml:space="preserve">I. </t>
  </si>
  <si>
    <t>RB GENERAL PD</t>
  </si>
  <si>
    <t>A.</t>
  </si>
  <si>
    <t>Capaian Sasaran Strategis</t>
  </si>
  <si>
    <t>1.</t>
  </si>
  <si>
    <t>Tingkat Kematangan SPBE Perangkat Daerah</t>
  </si>
  <si>
    <t xml:space="preserve">Nilai Kematangan Penerapan SPBE Perangkat Daerah </t>
  </si>
  <si>
    <t>0-100</t>
  </si>
  <si>
    <t>Dinas Komunikasi &amp; Informatika</t>
  </si>
  <si>
    <t>Tingkat Kematangan Kapabilitas Proses</t>
  </si>
  <si>
    <t>a)</t>
  </si>
  <si>
    <t>Telah mengalokasikan anggaran pelaksanaan SPBE setiap tahunnya</t>
  </si>
  <si>
    <t>Ya/Tidak</t>
  </si>
  <si>
    <t>Ya</t>
  </si>
  <si>
    <t>b)</t>
  </si>
  <si>
    <t>Telah menerapkan proses pembangunan Aplikasi SPBE sesuai siklus pembangunan aplikasi</t>
  </si>
  <si>
    <t>c)</t>
  </si>
  <si>
    <t>d)</t>
  </si>
  <si>
    <t>Telah menggunakan Layanan Jaringan Intra Pemerintah Daerah</t>
  </si>
  <si>
    <t>e)</t>
  </si>
  <si>
    <t>Telah menggunakan Sistem Penghubung Layanan Pemerintah Daerah</t>
  </si>
  <si>
    <t>f)</t>
  </si>
  <si>
    <t>g)</t>
  </si>
  <si>
    <t>Telah menerapkan Manajemen Risiko SPBE</t>
  </si>
  <si>
    <t>Terdapat Dokumen Manajemen Risiko SPBE</t>
  </si>
  <si>
    <t>h)</t>
  </si>
  <si>
    <t>i)</t>
  </si>
  <si>
    <t>j)</t>
  </si>
  <si>
    <t>Telah menerapkan Manajemen Aset TIK</t>
  </si>
  <si>
    <t>Terdapat Dokumen/Laporan Manajemen Aset TIK</t>
  </si>
  <si>
    <t>k)</t>
  </si>
  <si>
    <t>Telah dilakukan pemenuhan kompetensi Sumber Daya Manusia TIK</t>
  </si>
  <si>
    <t>Terdapat Dokumen/Laporan Pemenuhan Kompetensi Sumber Daya Manusia TIK</t>
  </si>
  <si>
    <t>Tingkat Kematangan Kapabilitas Layanan</t>
  </si>
  <si>
    <t>Telah Menggunakan Layanan Perencanan Berbasis Elektronik</t>
  </si>
  <si>
    <t>Telah Menggunakan Layanan Penganggaran Berbasis Elektronik</t>
  </si>
  <si>
    <t>Telah Menggunakan Layanan Keuangan Berbasis Elektronik</t>
  </si>
  <si>
    <t>Telah Menggunakan Layanan Pengadaan Barang/Jasa Berbasis Elektronik</t>
  </si>
  <si>
    <t>Telah Menggunakan Layanan Kepegawaian Berbasis Elektronik</t>
  </si>
  <si>
    <t>Telah Menggunakan Layanan Kearsipan Dinamis Berbasis Elektronik</t>
  </si>
  <si>
    <t>Telah Menggunakan Layanan Pengelolaan Barang Milik Daerah Berbasis Elektronik</t>
  </si>
  <si>
    <t>Telah Menggunakan Layanan Pengawasan Internal Pemerintah Berbasis Elektronik</t>
  </si>
  <si>
    <t>Telah Menggunakan Layanan Akuntabilitas Kinerja Organisasi Berbasis Elektronik</t>
  </si>
  <si>
    <t>Telah Menggunakan Layanan Kinerja Pegawai Berbasis Elektronik</t>
  </si>
  <si>
    <t>Telah Menggunakan Layanan Pengaduan Pelayanan Publik Berbasis Elektronik</t>
  </si>
  <si>
    <t>m)</t>
  </si>
  <si>
    <t>Telah Menggunakan Layanan Jaringan Dokumentasi dan Informasi Hukum (JDIH) Berbasis Elektronik</t>
  </si>
  <si>
    <t>n)</t>
  </si>
  <si>
    <t>Nilai SAKIP Perangkat Daerah</t>
  </si>
  <si>
    <t xml:space="preserve">Nilai Evaluasi Akuntabilitas Kinerja Internal </t>
  </si>
  <si>
    <t>Pemenuhan Dokumen Evaluasi SAKIP PD</t>
  </si>
  <si>
    <t>Aspek Perencanaan Kinerja</t>
  </si>
  <si>
    <t xml:space="preserve">Nilai Hasil Evaluasi Perencanaan Kinerja </t>
  </si>
  <si>
    <t>0-30</t>
  </si>
  <si>
    <t>Aspek Pengukuran Kinerja</t>
  </si>
  <si>
    <t xml:space="preserve">Nilai Hasil Evaluasi Pengukuran Kinerja </t>
  </si>
  <si>
    <t>Aspek Pelaporan Kinerja</t>
  </si>
  <si>
    <t xml:space="preserve">Nilai Hasil Evaluasi Pelaporan Kinerja </t>
  </si>
  <si>
    <t>0-15</t>
  </si>
  <si>
    <t>0-25</t>
  </si>
  <si>
    <t>Capaian IKU Perangkat Daerah</t>
  </si>
  <si>
    <t>A/B/C/D/E</t>
  </si>
  <si>
    <t>A</t>
  </si>
  <si>
    <t>BAPPEDA &amp; Biro Organisasi</t>
  </si>
  <si>
    <t>Laporan Kinerja Instansi Pemerintah (LKIP) Perangkat Daerah Tahun sebelumnya</t>
  </si>
  <si>
    <t>Tindaklajut Rekomendasi (TLHP)</t>
  </si>
  <si>
    <t xml:space="preserve">Persentase Hasil Tindaklanjut Rekomendasi (TLHP) </t>
  </si>
  <si>
    <t>%</t>
  </si>
  <si>
    <t>Inspektorat Daerah</t>
  </si>
  <si>
    <t>Persentase Hasil Tindaklanjut Rekomendasi (TLHP) BPK RI</t>
  </si>
  <si>
    <t>Persentase Hasil Tindaklanjut Rekomendasi (TLHP) APIP</t>
  </si>
  <si>
    <t>Laporan Realisasi Anggaran</t>
  </si>
  <si>
    <t>Persentase Capaian Realisasi APBD</t>
  </si>
  <si>
    <t>BPKAD</t>
  </si>
  <si>
    <t>2.</t>
  </si>
  <si>
    <t>Indeks Budaya Kerja BerAKHLAK</t>
  </si>
  <si>
    <t>Nilai Hasil Survey Implementasi Kamus Kompetensi ASN BerAKHLAK</t>
  </si>
  <si>
    <t>Nilai Survei Kepuasan Masyarakat</t>
  </si>
  <si>
    <t>Nilai Hasil Survey Kepuasan Masyarakat pada Aplikasi SKM Terintegrasi</t>
  </si>
  <si>
    <t>Biro Organisasi Setda</t>
  </si>
  <si>
    <t>Tingkat Keberhasilan Pembangunan ZI</t>
  </si>
  <si>
    <t>A/B/C/D/E/F</t>
  </si>
  <si>
    <t>B.</t>
  </si>
  <si>
    <t>Capaian Pelaksanaan Kebijakan RB</t>
  </si>
  <si>
    <t xml:space="preserve">Tingkat tindak lanjut pengaduan masyarakat (LAPOR) </t>
  </si>
  <si>
    <t>3.</t>
  </si>
  <si>
    <t>BAPELITBANGDA</t>
  </si>
  <si>
    <t>4.</t>
  </si>
  <si>
    <t>Indeks Reformasi Hukum</t>
  </si>
  <si>
    <t>Pengusulan Pembentukan Peraturan Daerah/Peraturan Kepala Daerah</t>
  </si>
  <si>
    <t>Surat Permohonan pengusulan Pembentukan Peraturan Daerah/Peraturan Kepala Daerah</t>
  </si>
  <si>
    <t>terdapat Surat Permohonan pengusulan Pembentukan Peraturan Daerah/Peraturan Kepala Daerah</t>
  </si>
  <si>
    <t>Naskah Akademik/penjelasan dan/atau keterangan mengenai urgensi dan pokok pikiran Rancangan Peraturan Daerah/Peraturan Kepala Daerah</t>
  </si>
  <si>
    <t>terdapat Naskah Akademik/penjelasan dan/atau keterangan mengenai urgensi dan pokok pikiran Rancangan Peraturan Daerah/Peraturan Kepala Daerah</t>
  </si>
  <si>
    <t>SK Pembentukan Panitia Antar Perangkat Daerah</t>
  </si>
  <si>
    <t>terdapat SK Pembentukan Panitia Antar Perangkat Daerah</t>
  </si>
  <si>
    <t>Rancangan Peraturan Daerah/Peraturan Kepala Daerah yang telah di paraf pejabat terkait</t>
  </si>
  <si>
    <t>terdapat Rancangnan Peraturan Daerah/Peraturan Kepala Daerah</t>
  </si>
  <si>
    <t>Tingkat Kehadiran Pimpinan Tinggi Pemrakarsa dalam rapat Pembentukan Peraturan Daerah/Peraturan Kepala Daerah</t>
  </si>
  <si>
    <t>1. Undangan Rapat
2. Daftar Hadir Pimpinan Tinggi Pratama
3. Notulensi
4. Dokumentasi Foto</t>
  </si>
  <si>
    <t>Evaluasi Produk Hukum</t>
  </si>
  <si>
    <t>A/B/C/D</t>
  </si>
  <si>
    <t>1. SK Tim Analisis dan Evaluasi Hukum terhadap Produk Hukum Perda/Perkada
2. Laporan Hasil Evaluasi Produk Hukum Perda/Perkada</t>
  </si>
  <si>
    <t>Tindaklanjut Hasil Evaluasi Produk Hukum</t>
  </si>
  <si>
    <t xml:space="preserve">1. Surat Keputusan/Naskah Dinas Penetapan Propemperda
2. Surat Keputusan/Naskah Dinas Penetapan Propemperkada
3. Surat Keputusan/Naskah Dinas Pengusulan Perubahan/Pencabutan/ Penggabungan Perda/Perkada hasil evaluasi
4. Dokumen Rancangan Perda/ Perkada Hasil Evaluasi </t>
  </si>
  <si>
    <t>5.</t>
  </si>
  <si>
    <t>Tingkat Digitalisasi Arsip</t>
  </si>
  <si>
    <t>Nilai Kualitas Pengelolaan Kearsipan Digital Perangkat Daerah</t>
  </si>
  <si>
    <t>Dinas Perpustakaan &amp; Kearsipan Daerah</t>
  </si>
  <si>
    <t>Berita Acara Hasil Evaluasi Kearsipan</t>
  </si>
  <si>
    <t>6.</t>
  </si>
  <si>
    <t>Indeks Tata Kelola Pengadaan Barang/Jasa Perangkat Daerah</t>
  </si>
  <si>
    <t xml:space="preserve">Nilai Kepatuhan Pencatatan Pengadaan Barang/Jasa Pemerintah pada SPSE </t>
  </si>
  <si>
    <t>Biro Pengadaan Barang &amp; Jasa Setda</t>
  </si>
  <si>
    <t>Persentase Paket Pekerjaan yang diumumkan RUPnya melalai SiRUP</t>
  </si>
  <si>
    <t>Persentase Pencatatan Paket e-Tendering pada SPSE sesuai pagu RUP e- Tendering</t>
  </si>
  <si>
    <t>Persentase Pencatatan Paket e- Purchasing pada Katalog Elektronik</t>
  </si>
  <si>
    <t>Persentase Pencatatan paket Non e-Tendering dan Non e-Purchasing pada SPSE</t>
  </si>
  <si>
    <t>Persentase Pencatatan paket transaksional pada e-Kontrak dalam SPSE</t>
  </si>
  <si>
    <t>7.</t>
  </si>
  <si>
    <t xml:space="preserve">Indeks Profesionalitas ASN </t>
  </si>
  <si>
    <t>Dimensi Kualifikasi</t>
  </si>
  <si>
    <t>Rata-rata nilai dimensi kualifikasi ASN pada setiap Perangkat Daerah dengan bobot nilai maksimal 25 poin</t>
  </si>
  <si>
    <t>Dimensi Kompetensi</t>
  </si>
  <si>
    <t>Rata-rata nilai dimensi kompetensi ASN pada setiap Perangkat Daerah dengan bobot nilai maksimal 40 poin</t>
  </si>
  <si>
    <t>0-40</t>
  </si>
  <si>
    <t>Dimensi Kinerja</t>
  </si>
  <si>
    <t>Rata-rata nilai dimensi kinerja ASN pada setiap Perangkat Daerah dengan bobot nilai maksimal 30 poin</t>
  </si>
  <si>
    <t>Dimensi Disiplin</t>
  </si>
  <si>
    <t>Rata-rata nilai dimensi disiplin ASN pada setiap Perangkat Daerah dengan bobot nilai maksimal 5 poin</t>
  </si>
  <si>
    <t>0-5</t>
  </si>
  <si>
    <t>C.</t>
  </si>
  <si>
    <t>Capaian Strategis Pelaksanaan RB General</t>
  </si>
  <si>
    <t>Rencana Aksi Pembangunan RB General</t>
  </si>
  <si>
    <t>Dokumen Rencana Aksi Pembangunan RB General telah disusun dan ditetapkan sebagai dokumen formal</t>
  </si>
  <si>
    <t>STU</t>
  </si>
  <si>
    <t>Tingkat Implementasi Rencana Aksi Pembangunan RB General</t>
  </si>
  <si>
    <t>Persentase Capaian Rencana Aksi Pembangunan RB General</t>
  </si>
  <si>
    <t xml:space="preserve">II. </t>
  </si>
  <si>
    <t>RB TEMATIK PERANGKAT DAERAH</t>
  </si>
  <si>
    <t>Strategi Membangunan RB Tematik</t>
  </si>
  <si>
    <t>Rencana Aksi Pembangunan RB Tematik</t>
  </si>
  <si>
    <t>Tingkat Implementasi Rencana Aksi Pembangunan RB Tematik</t>
  </si>
  <si>
    <t>Persentase Capaian Rencana Aksi Pembangunan RB Tematik</t>
  </si>
  <si>
    <t>Capaian Dampak RB Tematik</t>
  </si>
  <si>
    <t>Peningkatan Penggunaan Produk Dalam Negeri</t>
  </si>
  <si>
    <t>Digitalisasi Administrasi Pemerintahan</t>
  </si>
  <si>
    <t>TOTAL NILAI RB PD</t>
  </si>
  <si>
    <t xml:space="preserve">Penanggungjawab Evaluasi </t>
  </si>
  <si>
    <t xml:space="preserve">BKD </t>
  </si>
  <si>
    <t xml:space="preserve">Nilai Indeks Profesionalitas ASN Perangkat Daerah </t>
  </si>
  <si>
    <t>(&gt;90-100) AA = ISTIMEWA
(&gt;80 - 90) A = SANGAT BAIK 
(&gt;70 - 80) BB = BAIK
(&gt;60 - 70) B = CUKUP BAIK
(&gt;50 - 60) CC = CUKUP
(&gt;30 - 50) C = BURUK
( 0 - 30 ) D = SANGAT BURUK</t>
  </si>
  <si>
    <t>Tingkat Realisasi Belanja Pengadaan Barang/Jasa Pemerintah pada setiap perangkat daerah yang menggunakan Produk Dalam Negeri/Tingkat Komponen Dalam Negeri (PDN/TKDN)</t>
  </si>
  <si>
    <t xml:space="preserve">A. Evaluasi Produk Hukum dilakukan lebih dari 2 (dua) kali dalam satu tahun anggaran
B. Evaluasi Produk Hukum dilakukan 2 (dua) kali dalam satu tahun anggaran
C. Evaluasi Produk Hukum dilakukan 1 (satu) kali dalam satu tahun anggaran
D. Belum pernah dilakukan Evaluasi Produk Hukum </t>
  </si>
  <si>
    <t>A. Seluruh IKU Perangkat Daerah tercapai (100%)
B. Sebagian besar IKU Perangkat Daerah tercapai (&gt;50%)
C. Sebagian IKU Perangkat Daerah tercapai (= 50%)
D. Sebagian kecil IKU Perangkat Daerah tercapai (≤50%)
E. Tidak ada IKU Perangkat Daerah tercapai (0%)</t>
  </si>
  <si>
    <t>Data dan Informasi Capaian Kinerja RB Tematik yang disampaikan akan disandingkan dengan data dan informasi dari eksternal seperti; data BPS, data publikasi pada media massa, dan sebagainnya serta dari hasil reviu dan pendalaman yang dilakukan oleh Tenaga Ahli Independen/Tim Penilai Independen dengan parameter sebagai berikut:
A. Capaian Kinerja Program/Kegiatan telah berdampak terhadap capaian kinerja pemerintah daerah
B. Capaian kinerja Program/Kegiatan telah berdampak dan dirasakan manfaatnya oleh masyarakat secara luas (seluruh/sebagian besar target sasaran tercapai)
C. Capaian kinerja Program/Kegiatan telah berdampak dan dirasakan manfaatnya oleh sebagian masyarakat yang menjadi sasaran target program/kegiatan
D. Capaian kinerja Program/Kegiatan telah berdampak dan dirasakan manfaatnya oleh sebagian kecil masyarakat yang menjadi sasaran target program/kegiatan
E. Capaian kinerja Program/Kegiatan belum berdampak dan dirasakan manfaatnya oleh masyarakat</t>
  </si>
  <si>
    <t xml:space="preserve">A. 91-100% Pimpinan Tinggi Pratama pemrakarsa hadir dalam setiap rapat pengambilan keputusan 
B. 81-90% Pimpinan Tinggi Pratama pemrakarsa hadir dalam setiap rapat pengambilan keputusan 
C. 61-80% Pimpinan Tinggi Pratama pemrakarsa hadir dalam setiap rapat pengambilan keputusan 
D. 41-60% Pimpinan Tinggi Pratama pemrakarsa hadir dalam setiap rapat pengambilan keputusan 
E. 21-40% Pimpinan Tinggi Pratama pemrakarsa hadir dalam setiap rapat pengambilan keputusan 
F. dibawah 21% Pimpinan Tinggi Pratama pemrakarsa hadir dalam setiap rapat pengambilan keputusan </t>
  </si>
  <si>
    <t xml:space="preserve">A. 91-100% Hasil Evaluasi Produk Hukum yang ditindaklanjuti dalam program pembentukan Perda/Perkada 
B. 81-90% Hasil Evaluasi Produk Hukum yang ditindaklanjuti dalam program pembentukan Perda/Perkada 
C. 61-80% Hasil Evaluasi Produk Hukum yang ditindaklanjuti dalam program pembentukan Perda/Perkada 
D. 41-60% Hasil Evaluasi Produk Hukum yang ditindaklanjuti dalam program pembentukan Perda/Perkada 
E. 21-40% Hasil Evaluasi Produk Hukum yang ditindaklanjuti dalam program pembentukan Perda/Perkada 
F. kurang dari 21% Hasil Evaluasi Produk Hukum yang ditindaklanjuti dalam program pembentukan Perda/Perkada </t>
  </si>
  <si>
    <t>Data dan Informasi Implementasi Transformasi digital administrasi pemerintahan yang disampaikan akan disandingkan dengan data dan informasi seperti; Reviu/tanggapan publik (google reviu terkait kualitas layanan), data publikasi pada media massa, dan sebagainnya serta dari hasil reviu dan pendalaman yang dilakukan oleh Tenaga Ahli Independen/Tim Penilai Independen dengan parameter sebagai berikut:
A. Menyampaikan/melaksanakan Continouous Improvment penerapan Sistem Informasi berbasis elektronik yang telah terintegrasi dalam satu sistem (single sign on)
B. Sistem Informasi berbasis elektronik telah mengintegrasikan seluruh/sebagaian layanan dalam satu sistem (single sign on)
C. Sistem Informasi berbasis elektronik telah berkontribusi terhadap tercapainya kinerja Pemerintah Daerah dan/atau Perangkat Daerah
D. Sistem Informasi berbasis elektronik telah memberikan manfaat dan direspon positif oleh pengguna layanan
E. Sistem Informasi Berbasis Elektronik telah Berfungsi dengan Baik/dapat dioperasikan/dapat diakses oleh pengguna layanan
F. Sistem informasi belum berfungsi/belum dapat digunakan/belum dapat diakses (sistem masih dalam bentuk konsep pengembangan atau prototype)</t>
  </si>
  <si>
    <t xml:space="preserve"> </t>
  </si>
  <si>
    <t>Nilai Pengawasan Kearsipan Internal</t>
  </si>
  <si>
    <t>1. Nilai 90 s.d. 100 dengan kategori AA (Sangat Memuaskan)
2. Nilai lebih dari 80 s.d 90 dengan kategori A (Memuaskan)
3. Nilai lebih dari 70 s.d 80 dengan kategori BB (Sangat Baik)
4. Nilai lebih dari 60 s.d 70 dengan kategori B (Baik)
5. Nilai lebih dari 50 s.d 60 dengan kategori CC (Cukup)
6. Nilai lebih dari 30 s.d 50 dengan kategori C (Kurang)
7. Nilai 0 s.d 30 dengan kategori D (Sangat Kurang)</t>
  </si>
  <si>
    <t>Persentase Pencatatan paket transaksional pada Toko Daring</t>
  </si>
  <si>
    <t>A. Telah memperoleh predikat menuju WBBM
B. Telah memperoleh predikat menuju WBK
C. Telah dilaksanakan evaluasi oleh TPN
D. Telah dilaksanakan evaluasi oleh TPI
E. Telah dilaksanakan Pencananangan ZI Unit Kerja
F. Belum dilakukan Pencanangan Zona Integritas</t>
  </si>
  <si>
    <t>Aspek Evaluasi Akuntabilitas Kinerja Internal</t>
  </si>
  <si>
    <t>Nilai Hasil Evaluasi Internal Akuntabilitas Kinerja Internal</t>
  </si>
  <si>
    <t>Telah Memiliki Dokumen Arsitektur SPBE Perangkat Daerah</t>
  </si>
  <si>
    <t>Telah Memiliki Dokumen Peta Rencana (Roadmap) Penerapan SPBE Perangkat Daerah</t>
  </si>
  <si>
    <t xml:space="preserve">Terdapat dokumen peta rencana (roadmap) SPBE </t>
  </si>
  <si>
    <t xml:space="preserve">Telah melaksanakan Inovasi Peta Proses Bisnis </t>
  </si>
  <si>
    <t>Telah memanfaatkan Layanan Pusat Data Pemerintah Daerah</t>
  </si>
  <si>
    <t>Terdapat aktivitas penggunaan Layanan Pusat Data Pemerintah Daerah</t>
  </si>
  <si>
    <t>Terdapat aktivitas penggunaan Layanan Jaringan Intra Pemerintah Daerah</t>
  </si>
  <si>
    <t>Terdapat aktivitas penggunaan Sistem Penghubung Layanan Pemerintah Daerah</t>
  </si>
  <si>
    <t>Telah terdapat Tim Pelaksana SPBE Perangkat Daerah</t>
  </si>
  <si>
    <t>Terdapat Tim Pelaksana SPBE Perangkat Daerah yang salah satu fungsinya adalah melakukan koordinasi dengan Instansi Penganggungjawab SPBE terkait penerapan SPBE di Perangkat Daerah/Unit Kerja</t>
  </si>
  <si>
    <t>l)</t>
  </si>
  <si>
    <t>Telah melaksanakan Manajemen Data</t>
  </si>
  <si>
    <t>Telah menggunakan Sistem Informasi Pembangunan Daerah (SIPD) dimensi perencanaan</t>
  </si>
  <si>
    <t>Telah menggunakan Sistem Informasi Pembangunan Daerah (SIPD) dimensi penganggaran</t>
  </si>
  <si>
    <t xml:space="preserve">Telah menggunakan Sistem Informasi Penatausahaan Keuangan Daerah (SIKD) </t>
  </si>
  <si>
    <t>Telah mengunakan Sistem Pengadaan Secara Elektronik (SPSE)</t>
  </si>
  <si>
    <t>Telah menggunakan Sistem Pengawasan Internal Pemerintah (SPIP)</t>
  </si>
  <si>
    <t>Telah menggunakan SP4N-LAPOR</t>
  </si>
  <si>
    <t>Telah menggunakan Layanan Data Terbuka Berbasis Elektronik</t>
  </si>
  <si>
    <t>Telah menggunakan JDIH</t>
  </si>
  <si>
    <t>Penyelenggaraan Statistik Sektoral</t>
  </si>
  <si>
    <t>Telah Memiliki Standar Data Statistik</t>
  </si>
  <si>
    <t>Persentase Data yang Memiliki Metadata</t>
  </si>
  <si>
    <t>Persentase Keterisian Data Prioritas (Relevansi)</t>
  </si>
  <si>
    <t>Persentase Data yang Dirilis sesuai Jadwal (Aktualisasi &amp; Ketepatan Waktu)</t>
  </si>
  <si>
    <t>A. Sudah Menyusun Arsitektur SPBE Domain Proses Bisnis, Layanan, Data dan Informasi, dan Aplikasi
B. Sudah Menyusun Arsitektur SPBE Domain Proses Bisnis, Layanan dan Data dan Informasi
C. Sudah Menyusun Arsitektur SPBE Domain Proses Bisnis dan Layanan 
D. Sudah Menyusun Arsitektur SPBE Domain Proses Bisnis</t>
  </si>
  <si>
    <t>Telah membentuk Tim Pengelola SP4N-LAPOR Perangkat Daerah yang diformalkan dalam bentuk SK atau SP Kepala Perangkat Daerah</t>
  </si>
  <si>
    <t>Diseminasi SP4N-LAPOR! Kepada Masyarakat</t>
  </si>
  <si>
    <t>Telah melakukan diseminasi/sosialisasi SP4N-LAPOR kepada masyarakat/pengguna layanan</t>
  </si>
  <si>
    <t>Laporan Pengelolaan SP4N-LAPOR! Setiap Semester</t>
  </si>
  <si>
    <t>Jumlah Laporan yang Diterima/Masuk pada SP4N - LAPOR</t>
  </si>
  <si>
    <t xml:space="preserve">Laju Tindak Lanjut Penyelesaian Aduan </t>
  </si>
  <si>
    <t xml:space="preserve">A/B/C </t>
  </si>
  <si>
    <t>A. Tindak Lanjut Evaluasi Proses Bisnis diterapkan kembali ke Sistem Elektronik Versi Berikutnya
B. Reviu dan Evaluasi Proses Bisnis yang sudah diterapkan ke dalam Sistem Elektronik
C. Terdapat Proses Bisnis yang sudah diterapkan ke dalam Sistem Elektronik
D. Sudah Memiliki Peta Proses Bisnis</t>
  </si>
  <si>
    <t>A. Tindak lanjut hasil evaluasi Anggaran SPBE dalam bentuk RKA/ DPA TA berikutnya
B. Terdapat dokumentasi hasil reviu dan evaluasi Anggaran SPBE
C. Rencana dan Anggaran SPBE dikonsultasikan ke Diskominfo
D. Terdapat Alokasi anggaran pelaksanaan SPBE setiap tahunnya pada Dokumen Pelaksanaan Anggaran</t>
  </si>
  <si>
    <t>8.</t>
  </si>
  <si>
    <t>Persentase Hasil Tindaklanjut Rekomendasi (TLHP) BPK dan APIP</t>
  </si>
  <si>
    <t>Persentase Tindaklanjut Laporan Pengaduan melalui SP4N Lapor</t>
  </si>
  <si>
    <t>Nilai Kepatuhan Pencatatan Pengadaan Barang/Jasa Pemerintah pada SPSE</t>
  </si>
  <si>
    <t xml:space="preserve">Tingkat Ketercapaian Indikator Kinerja Utama Perangkat Daerah sesuai Dokumen Rencana Strategis Perangkat Daerah </t>
  </si>
  <si>
    <t>Dinas Komunikasi dan Informatika</t>
  </si>
  <si>
    <t>Badan Perencanaan Pembangunan Daerah</t>
  </si>
  <si>
    <t>Badan Pengelola Keuangan dan Aset Daerah</t>
  </si>
  <si>
    <t>Strategic Transformation Unit (STU)</t>
  </si>
  <si>
    <t>Biro Organisasi Sekretariat Daerah</t>
  </si>
  <si>
    <t>Biro Hukum dan HAM Sekretariat Daerah</t>
  </si>
  <si>
    <t xml:space="preserve">Nilai Pengukuran Implementasi Reformasi Hukum Perangkat Daerah </t>
  </si>
  <si>
    <t>Biro Pengadaan Barang dan Jasa Sekretariat Daerah</t>
  </si>
  <si>
    <t>Badan Kepegawaian Daerah dan Badan Pengembangan Sumber Daya Manusia</t>
  </si>
  <si>
    <t>Tim Independen</t>
  </si>
  <si>
    <t>Strategic Transformation Unit (STU) dan Tim P3DN</t>
  </si>
  <si>
    <t>BOBOT</t>
  </si>
  <si>
    <t>NILAI</t>
  </si>
  <si>
    <t>NILAI AKHIR</t>
  </si>
  <si>
    <t>INDIKATOR PENILAIAN</t>
  </si>
  <si>
    <t>KETERANGAN</t>
  </si>
  <si>
    <t>EVALUATOR</t>
  </si>
  <si>
    <r>
      <t>Dokumen Rencana Aksi Pembangunan RB Tematik telah disusun dan ditetapkan sebagai dokumen formal memuat l</t>
    </r>
    <r>
      <rPr>
        <i/>
        <sz val="10"/>
        <color theme="1"/>
        <rFont val="Bahnschrift"/>
        <family val="2"/>
      </rPr>
      <t>ogical framework</t>
    </r>
  </si>
  <si>
    <r>
      <t xml:space="preserve">Penyampaian 1 buah </t>
    </r>
    <r>
      <rPr>
        <b/>
        <sz val="10"/>
        <color theme="1"/>
        <rFont val="Bahnschrift"/>
        <family val="2"/>
      </rPr>
      <t>"Praktek Baik"</t>
    </r>
    <r>
      <rPr>
        <sz val="10"/>
        <color theme="1"/>
        <rFont val="Bahnschrift"/>
        <family val="2"/>
      </rPr>
      <t xml:space="preserve"> Tata Kelola Pemerintahan Berbasis Elektronik </t>
    </r>
    <r>
      <rPr>
        <i/>
        <sz val="10"/>
        <color theme="1"/>
        <rFont val="Bahnschrift"/>
        <family val="2"/>
      </rPr>
      <t xml:space="preserve">(Digital Services) </t>
    </r>
    <r>
      <rPr>
        <sz val="10"/>
        <color theme="1"/>
        <rFont val="Bahnschrift"/>
        <family val="2"/>
      </rPr>
      <t>dalam bentuk Media Publikasi seperti majalah elektronik, artikel, jurnal, dll yang dikemas secara informatif dan menarik maksimal 5 halaman</t>
    </r>
  </si>
  <si>
    <r>
      <t xml:space="preserve">Penyampaian 1 Buah </t>
    </r>
    <r>
      <rPr>
        <b/>
        <sz val="10"/>
        <color theme="1"/>
        <rFont val="Bahnschrift"/>
        <family val="2"/>
      </rPr>
      <t>"Praktek Baik"</t>
    </r>
    <r>
      <rPr>
        <sz val="10"/>
        <color theme="1"/>
        <rFont val="Bahnschrift"/>
        <family val="2"/>
      </rPr>
      <t xml:space="preserve"> Implementasi RB Tematik </t>
    </r>
    <r>
      <rPr>
        <i/>
        <sz val="10"/>
        <color theme="1"/>
        <rFont val="Bahnschrift"/>
        <family val="2"/>
      </rPr>
      <t xml:space="preserve">(Public Services) </t>
    </r>
    <r>
      <rPr>
        <sz val="10"/>
        <color theme="1"/>
        <rFont val="Bahnschrift"/>
        <family val="2"/>
      </rPr>
      <t>dalam bentuk Media Publikasi seperti majalah elektronik, artikel, jurnal, dll yang dikemas secara informatif dan menarik maksimal 5 halaman</t>
    </r>
  </si>
  <si>
    <t xml:space="preserve">Nilai Kematangan Penerapan SPBE dan Statistik Sektoral pada Perangkat Daerah </t>
  </si>
  <si>
    <t>Persentase Capaian Realisasi APBD tahun sebelumnya dan tahun berjalan</t>
  </si>
  <si>
    <t>Tingkat Capaian Pelaksanaan Pembangunan Zona Integritas</t>
  </si>
  <si>
    <t xml:space="preserve">A. Proses pembangunan/ pengembangan aplikasi telah direviu dan dievaluasi serta ditindaklanjuti
B. Perangkat Daerah melakukan Pembangunan/Pengembangan Aplikasi sesuai Rekomendasi Kementerian PAN RB
C. Dokumentasi Proses Pembangunan/Pengembangan Aplikasi sesuai Siklus Pembangunan Aplikasi / SDLC secara lengkap. 
D. Perangkat Daerah konsultasi dengan Diskominfo dalam proses Pembangunan/ Pengembangan Aplikasi </t>
  </si>
  <si>
    <r>
      <t xml:space="preserve">Telah melakukan </t>
    </r>
    <r>
      <rPr>
        <i/>
        <sz val="12"/>
        <color theme="1"/>
        <rFont val="Bahnschrift"/>
        <family val="2"/>
      </rPr>
      <t xml:space="preserve">self-assessment </t>
    </r>
    <r>
      <rPr>
        <sz val="12"/>
        <color theme="1"/>
        <rFont val="Bahnschrift"/>
        <family val="2"/>
      </rPr>
      <t>Indeks KAMI</t>
    </r>
  </si>
  <si>
    <r>
      <t xml:space="preserve">Terdapat Dokumen/Laporan </t>
    </r>
    <r>
      <rPr>
        <i/>
        <sz val="12"/>
        <color theme="1"/>
        <rFont val="Bahnschrift"/>
        <family val="2"/>
      </rPr>
      <t xml:space="preserve">Self-Assessment </t>
    </r>
    <r>
      <rPr>
        <sz val="12"/>
        <color theme="1"/>
        <rFont val="Bahnschrift"/>
        <family val="2"/>
      </rPr>
      <t>Indeks KAMI</t>
    </r>
  </si>
  <si>
    <r>
      <t xml:space="preserve">Telah memiliki standar data statistik yang lengkap untuk semua Indikator Kinerja Utama (IKU) yang diampu dinas
</t>
    </r>
    <r>
      <rPr>
        <i/>
        <sz val="12"/>
        <color theme="1"/>
        <rFont val="Bahnschrift"/>
        <family val="2"/>
      </rPr>
      <t>Rumus: (Jumlah IKU yang memiliki standar data dibagi jumlah total IKU) * 100%</t>
    </r>
  </si>
  <si>
    <r>
      <t xml:space="preserve">Tersedianya metadata terstandar (sesuai Perka BPS No. 5 Tahun 2020) untuk semua IKU
</t>
    </r>
    <r>
      <rPr>
        <i/>
        <sz val="12"/>
        <color theme="1"/>
        <rFont val="Bahnschrift"/>
        <family val="2"/>
      </rPr>
      <t>Rumus: (Jumlah metadata IKU yang tersedia dibagi jumlah total IKU) * 100%</t>
    </r>
  </si>
  <si>
    <r>
      <t xml:space="preserve">Persentase keterisian data prioritas
</t>
    </r>
    <r>
      <rPr>
        <i/>
        <sz val="12"/>
        <color theme="1"/>
        <rFont val="Bahnschrift"/>
        <family val="2"/>
      </rPr>
      <t>Rumus: (Jumlah data prioritas yang tersedia di Satu Data dibagi Potensi data prioritas) * 100%</t>
    </r>
  </si>
  <si>
    <r>
      <t xml:space="preserve">Persentase data prioritas yang terupdate sesuai waktu
</t>
    </r>
    <r>
      <rPr>
        <i/>
        <sz val="12"/>
        <color theme="1"/>
        <rFont val="Bahnschrift"/>
        <family val="2"/>
      </rPr>
      <t>A = 100% terupdate
B = 75% terupdate
C = 50% terupdate
D = 25% terupdate
E = belum terupdate (0%)</t>
    </r>
  </si>
  <si>
    <r>
      <t xml:space="preserve">Persentase Penyelesaian Pengaduan pada SP4N-LAPOR! dengan Status </t>
    </r>
    <r>
      <rPr>
        <b/>
        <sz val="12"/>
        <color theme="1"/>
        <rFont val="Bahnschrift"/>
        <family val="2"/>
      </rPr>
      <t>Selesai</t>
    </r>
  </si>
  <si>
    <t>1.1</t>
  </si>
  <si>
    <t>1.2</t>
  </si>
  <si>
    <t>1.3</t>
  </si>
  <si>
    <t>2.1</t>
  </si>
  <si>
    <t>3.1</t>
  </si>
  <si>
    <t>Jumlah IKU Perangkat Daerah Tercapai</t>
  </si>
  <si>
    <t>Tingkat Ketercapaian IKU Perangkat Daerah</t>
  </si>
  <si>
    <t>4.1</t>
  </si>
  <si>
    <t>Tindaklanjut Hasil Pemerikaan BPK RI</t>
  </si>
  <si>
    <t>Persentasi Penyelesaian Tindaklanjut Hasil Pemerikaan (TLHP)</t>
  </si>
  <si>
    <t xml:space="preserve">Tindaklanjut Hasil Pemerikaan APIP </t>
  </si>
  <si>
    <t>5.1</t>
  </si>
  <si>
    <t>6.1</t>
  </si>
  <si>
    <t>Tingkat Implementasi Kamus Kompetensi ASN BerAKHLAK</t>
  </si>
  <si>
    <t>7.1</t>
  </si>
  <si>
    <t>Nilai Survey Kepuasan Masyarakat Perangkat Daerah</t>
  </si>
  <si>
    <t>Hasil Survey Kepuasan Masyarakat pada Aplikasi SKM Terintegrasi</t>
  </si>
  <si>
    <t>Capaian Pelaksanaan Pembangunan Zona Integritas</t>
  </si>
  <si>
    <t>8.1</t>
  </si>
  <si>
    <t>Pembangunan Zona Integritas Unit Kerja/Perangkat Daerah</t>
  </si>
  <si>
    <t>Laporan Realisasi APBD Perangkat Daerah</t>
  </si>
  <si>
    <t>A. Jumlah Pengaduan diatas 20 aduan
B. Jumlah Pengaduan diatas 10 sampai dengan 20 aduan
C. Jumlah Pengaduan diatas 5 sampai dengan 10 aduan
D. Jumlah Pengaduan dibawah 5 aduan</t>
  </si>
  <si>
    <t>A. Persentasi Jumlah Pengaduan dengan Status SELESAI diatas 90%
B. Persentasi Jumlah Pengaduan dengan Status SELESAI diatas 70 % s.d 90%
C. Persentasi Jumlah Pengaduan dengan Status SELESAI diatas 50% s.d 70%
D. Persentasi Jumlah Pengaduan dengan Status SELESAI dibawah 50%</t>
  </si>
  <si>
    <t xml:space="preserve">A. Rata-Rata Lama Hari Penyelesaianan Pengaduan dibawah 5 hari
B. Rata-Rata Lama Hari Penyelesaianan Pengaduan diatas 5 hari s.d 14 hari
C. Rata-Rata Lama Hari Penyelesaianan Pengaduan diatas 14 hari  </t>
  </si>
  <si>
    <t>3.2</t>
  </si>
  <si>
    <t>3.3</t>
  </si>
  <si>
    <t>2.2</t>
  </si>
  <si>
    <t>2.3</t>
  </si>
  <si>
    <t xml:space="preserve">Tingkat Kehadiran Pimpinan Tinggi Pemrakarsa  </t>
  </si>
  <si>
    <t>Evaluasi Produk Hukum dan Tindaklanjutnya</t>
  </si>
  <si>
    <t>Nilai Hasil Evaluasi Pengawasan Kearsipan Internal Perangkat Daerah</t>
  </si>
  <si>
    <t>Pemenuhan Dokumen Rencana Aksi RB General</t>
  </si>
  <si>
    <t>Capaian Rencana Aksi Pembangunan RB General</t>
  </si>
  <si>
    <t>Pemenuhan Dokumen Rencana Aksi RB Tematik</t>
  </si>
  <si>
    <r>
      <t xml:space="preserve">Dokumen Rencana Aksi Pembangunan RB Tematik telah disusun dan ditetapkan sebagai dokumen formal dengan memuat </t>
    </r>
    <r>
      <rPr>
        <i/>
        <sz val="12"/>
        <color theme="1"/>
        <rFont val="Bahnschrift"/>
        <family val="2"/>
      </rPr>
      <t>logical framework</t>
    </r>
  </si>
  <si>
    <t>Capaian Rencana Aksi Pembangunan RB Tematik</t>
  </si>
  <si>
    <t>Realisasi Belanja Pengadaan Barang/Jasa Pemerintah pada setiap perangkat daerah yang menggunakan Produk Dalam Negeri/Tingkat Komponen Dalam Negeri (PDN/TKDN)</t>
  </si>
  <si>
    <t>Realisasi Belanja Produk Dalam Negeri/Tingkat Komponen Dalam Negeri (PDN/TKDN)</t>
  </si>
  <si>
    <t>Implementasi Digitalasasi Administrasi Pemerintahan</t>
  </si>
  <si>
    <t xml:space="preserve">Tingkat Penerapan Digitalasasi Administrasi Pemerintahan dalam Pelaksanaan Tugas Pokok dan Fungsi </t>
  </si>
  <si>
    <r>
      <t xml:space="preserve">Capaian Kinerja Organisasi dalam Pengentasan Kemiskinan dan/atau Penanganan Stunting dan/atau Peningkatan Investasi dan/atau Pengendalian Laju Inflasi dan/atau kinerja lainnya yang merupakan </t>
    </r>
    <r>
      <rPr>
        <i/>
        <sz val="12"/>
        <color theme="1"/>
        <rFont val="Bahnschrift"/>
        <family val="2"/>
      </rPr>
      <t>core business</t>
    </r>
    <r>
      <rPr>
        <sz val="12"/>
        <color theme="1"/>
        <rFont val="Bahnschrift"/>
        <family val="2"/>
      </rPr>
      <t xml:space="preserve"> perangkat daerah</t>
    </r>
  </si>
  <si>
    <r>
      <t xml:space="preserve">Capaian Kinerja </t>
    </r>
    <r>
      <rPr>
        <b/>
        <i/>
        <sz val="12"/>
        <color theme="1"/>
        <rFont val="Bahnschrift"/>
        <family val="2"/>
      </rPr>
      <t xml:space="preserve">Core Business </t>
    </r>
    <r>
      <rPr>
        <b/>
        <sz val="12"/>
        <color theme="1"/>
        <rFont val="Bahnschrift"/>
        <family val="2"/>
      </rPr>
      <t xml:space="preserve">Organisasi </t>
    </r>
  </si>
  <si>
    <t xml:space="preserve">Capaian Kinerja Core Business Organisasi </t>
  </si>
  <si>
    <t>Surat Keputusan/Surat Perintah Tim Pengelola SP4N Lapor Perangkat Daerah</t>
  </si>
  <si>
    <t>Dinas Perpustakaan dan Kearsipan</t>
  </si>
  <si>
    <t>Persentasi Realisasi APBD Tahun Sebelumnya</t>
  </si>
  <si>
    <t>5.2</t>
  </si>
  <si>
    <t>Persentasi Realisasi APBD Tahun Berjalan</t>
  </si>
  <si>
    <t>Template excel versi Kemanpanrb
1. Domain Proses Bisnis (sampai level n dan kelengkapan metadata)
2. Domain Layanan (selaras dengan Standar Pelayanan Minimal/SPM dan/atau Standar Pelayanan/SP)
3. Domain Aplikasi (selaras dengan Layanan dan data/informasi-nya)
4. Domain Data dan Informasi (selaras dengan Aplikasi layanan, Aplikasi Satu Data/Satu Peta, dan Sistem Penghubung Layanan/SPL ataupun API)
5. Domain Infrastruktur (optional/wajib bagi yang memiliki infrastruktur sendiri dan memanfaatkan Pusat Data Nasional)
6. Domain Keamanan Informasi (optional/wajib bagi yang telah menerapkan Sistem Manajemen Keamanan Informasi/ISO 27001)</t>
  </si>
  <si>
    <t>Roadmap TIK yang dimiliki PD (Dokumen peta jalan TIK/Rencana Induk TIK/Masterplan Pengembangan TIK) dan Renstra PD</t>
  </si>
  <si>
    <t>Alokasi anggaran TIK diselaraskan antara roadmap dengan renstra</t>
  </si>
  <si>
    <t>Identifikasi inovasi berbasis TIK baru yang berbeda dengan proses bisnis sebelumnya</t>
  </si>
  <si>
    <t>Nota Dinas, Surat Permohonan, Surat Balasan, dan Berita Acara Pemanfaatan Pusat Data Pemerintah Daerah</t>
  </si>
  <si>
    <t xml:space="preserve">Nota Dinas, Surat Permohonan, Surat Balasan, dan Berita Acara Pemanfaatan Jaringan Intra Pemerintah Daerah, Laporan Pemanfaatan </t>
  </si>
  <si>
    <t>Surat Edaran, Surat Permohonan, Surat Balasan, dan Berita Acara Pemanfaatan Sistem Penghubung Layanan Pemerintah Daerah</t>
  </si>
  <si>
    <t>Surat Perintah Tim Pengelola TIK/SPBE/Tim Layanan Digital</t>
  </si>
  <si>
    <t>Dokumen Manajemen Risiko SPBE PD</t>
  </si>
  <si>
    <t>Laporan pelaksanaan Indeks KAMI (Diskominfo), Dashboard Indeks KAMI (PD lain)</t>
  </si>
  <si>
    <t>Telah menerapkan Tanda Tangan Elektronik pada Naskah Dokumen Elektronik</t>
  </si>
  <si>
    <t>Terdapat Laporan Rekapitulasi Pemanfaatan Penggunaan Tanda Tangan Elektronik</t>
  </si>
  <si>
    <t>Laporan Rekapitulasi Pemanfaatan Penggunaan Tanda Tangan Elektronik</t>
  </si>
  <si>
    <t xml:space="preserve">Terdapat Dokumen Manajemen Data (mencakup pengelolaan arsitektur data (bid. statistik), data induk, data referensi (tiap PD berbeda, mengacu ke pusat), basis data, kualitas data (data ada di JDS), dan interoperabilitas data) </t>
  </si>
  <si>
    <t>Dokumen Manajemen Data PD (List user, log aktivitas, dataset PD)</t>
  </si>
  <si>
    <t>Dokumen Manajemen Aset TIK PD</t>
  </si>
  <si>
    <t>o)</t>
  </si>
  <si>
    <t>Dokumen Okupasi Pemetaan Kompetensi SDM TIK PD</t>
  </si>
  <si>
    <t xml:space="preserve">Dokumen standar data IKU Perangkat Daerah yang sesuai dengan Peraturan BPS no. 4 Tahun 2021 tentang SDSN </t>
  </si>
  <si>
    <t>Dokumen metadata IKU Perangkat Daerah sesuai dengan Peraturan BPS no. 5 Tahun 2020 tentang Petunjuk Teknis Metadata Statistik</t>
  </si>
  <si>
    <t>List data prioritas dari masing-masing Perangkat Daerah (dari Bappeda)</t>
  </si>
  <si>
    <t>Dokumen jumlah data prioritas yang telah terupdate (per 31 Desember n-1/tahun sebelumnya) pada 30 Juni tahun berjalan</t>
  </si>
  <si>
    <t>Screenshot Pemanfaatan SIPD (Perencanaan)</t>
  </si>
  <si>
    <t>Screenshot Pemanfaatan SIPD (Penganggaran)</t>
  </si>
  <si>
    <t>Screenshot Pemanfaatan SIPD (Penatausahaan Keuangan Daerah)</t>
  </si>
  <si>
    <t>Screenshot Pemanfaatan SPSE</t>
  </si>
  <si>
    <t>Screenshot Pemanfaatan Aplikasi Aset</t>
  </si>
  <si>
    <t>Screenshot Pemanfaatan Aplikasi SPIP</t>
  </si>
  <si>
    <t>Screenshot Pemanfaatan Aplikasi Sistem AKIP (Biro Organisasi dan Kemenpanrb)</t>
  </si>
  <si>
    <t>Rekap pengelolaan pengaduan</t>
  </si>
  <si>
    <t>Telah menggunakan aplikasi Open Data</t>
  </si>
  <si>
    <t>Respon PD terkait Form Permintaan Data</t>
  </si>
  <si>
    <t>Screenshot Pemanfaatan JDIH (cek regulasi PD yang telah diterbitkan), Website/Sistem Informasi dari PD yang sudah diintegrasikan dengan JDIH khusus untuk produk hukumnya</t>
  </si>
  <si>
    <t>Telah Memiliki Layanan Berbasis Elektronik</t>
  </si>
  <si>
    <t>Telah memiliki layanan berbasis elektronik sesuai dengan core bisnis Perangkat Daerah</t>
  </si>
  <si>
    <t>Dokumentasi pengembangan layanan berbasis elektronik (sesuai siklus SDLC, manualbook, vidio penggunaan)</t>
  </si>
  <si>
    <t>Realisasi APBD Tahun Sebelumnya</t>
  </si>
  <si>
    <t>LHE Hasil Evaluasi Akuntabilitas Kinerja Internal masing-masing perangkat daerah dan/ atau Berita Acara Hasil Evaluasi Akuntabilitas Kinerja Internal</t>
  </si>
  <si>
    <t>Berita Acara Tindaklanjut Hasil Pemeriksaan/ Laporan Rekapitulasi Tindaklanjut Hasil Pemeriksaan yang di keluarkan oleh BPK RI</t>
  </si>
  <si>
    <t>Berita Acara Tindaklanjut Hasil Pemeriksaan/ Laporan Rekapitulasi Tindaklanjut Hasil Pemeriksaan yang dikeluarkan oleh Inspektorat</t>
  </si>
  <si>
    <t>Berita Acara Hasil Evaluasi TPI dan/atau Laporan Hasil Evaluasi TPN dan/atau Piagam Penghargaan Capaian Predikat WBK/WBBM pada unit kerja</t>
  </si>
  <si>
    <t>Surat Permohonan pengusulan Pembentukan Peraturan Daerah/ Peraturan Kepala Daerah</t>
  </si>
  <si>
    <t>Naskah Akademik/ penjelasan dan/atau keterangan mengenai urgensi dan pokok pikiran Rancangan Peraturan Daerah/Peraturan Kepala Daerah</t>
  </si>
  <si>
    <t>Rancangnan Peraturan Daerah/Peraturan Kepala Daerah</t>
  </si>
  <si>
    <t>SK atau SP Tim Pengelola SP4N -LAPOR yang telah di formalkan oleh Kepala Perangkat Daerah</t>
  </si>
  <si>
    <t>Laporan Rekapitulasi Jumlah pengaduan pada aplikasi SP4N-LAPOR/ screenshot Jumlah Pengaduan pada SP4N-LAPOR</t>
  </si>
  <si>
    <t>Laporan Rekapitulasi Jumlah penyelesaian pengaduan pada aplikasi SP4N-LAPOR/ screenshot Jumlah Penyelesaian Pengaduan pada SP4N-LAPOR</t>
  </si>
  <si>
    <t>Laporan Rekapitulasi rata-rata lama hari penyelesaian pengaduan pada aplikasi SP4N-LAPOR/ screenshot rata-rata lama Penyelesaian Pengaduan pada SP4N-LAPOR</t>
  </si>
  <si>
    <t xml:space="preserve">LHE Penilaian Kearsipan Internal (LAKI) Masing-masing perangkat daerah yang dikeluarkan oleh Dinas Perpustakaan dan Kearsipan Daerah </t>
  </si>
  <si>
    <r>
      <t xml:space="preserve">Penyampaian 1 buah "Praktek Baik" Tata Kelola Pemerintahan Berbasis Elektronik </t>
    </r>
    <r>
      <rPr>
        <i/>
        <sz val="12"/>
        <color theme="1"/>
        <rFont val="Bahnschrift"/>
        <family val="2"/>
      </rPr>
      <t>(Digital Services)/ layanan administrasi pemerintah berbasis elektronik dalam bentuk Media Publikasi (booklet, brosur, e-books, pamplet yang dikemas secara informatif dan menarik)</t>
    </r>
    <r>
      <rPr>
        <sz val="12"/>
        <color theme="1"/>
        <rFont val="Bahnschrift"/>
        <family val="2"/>
      </rPr>
      <t xml:space="preserve">
</t>
    </r>
  </si>
  <si>
    <r>
      <t xml:space="preserve">Penyampaian 1 Buah "Praktek Baik" Implementasi RB Tematik </t>
    </r>
    <r>
      <rPr>
        <i/>
        <sz val="12"/>
        <color theme="1"/>
        <rFont val="Bahnschrift"/>
        <family val="2"/>
      </rPr>
      <t>(Public Services) dalam bentuk Media Publikasi (booklet, brosur, e-books, pamplet yang dikemas secara informatif dan menarik)</t>
    </r>
  </si>
  <si>
    <r>
      <t>Screenshot</t>
    </r>
    <r>
      <rPr>
        <sz val="12"/>
        <color rgb="FF000000"/>
        <rFont val="Bahnschrift"/>
        <family val="2"/>
      </rPr>
      <t xml:space="preserve"> Laporan RUP pada Aplikasi SiRUP atau Laporan Rekapitulasi RUP pada SiRUP yang dikeluarkan oleh Biro PBJ</t>
    </r>
  </si>
  <si>
    <r>
      <t>Screenshot</t>
    </r>
    <r>
      <rPr>
        <sz val="12"/>
        <color rgb="FF000000"/>
        <rFont val="Bahnschrift"/>
        <family val="2"/>
      </rPr>
      <t xml:space="preserve"> Pencatatan Paket e-Tendering pada SPSE sesuai pagu RUP e- Tendering atau Laporan Pencatatan Paket e-Tendering pada SPSE sesuai pagu RUP e- Tendering yang dikeluarkan oleh Biro PBJ</t>
    </r>
  </si>
  <si>
    <r>
      <t>Screenshot</t>
    </r>
    <r>
      <rPr>
        <sz val="12"/>
        <color rgb="FF000000"/>
        <rFont val="Bahnschrift"/>
        <family val="2"/>
      </rPr>
      <t xml:space="preserve"> Pencatatan Paket e- Purchasing pada Katalog Elektronik atau Laporan Pencatatan Paket e- Purchasing pada Katalog Elektronik yang dikeluarkan oleh Biro PBJ</t>
    </r>
  </si>
  <si>
    <r>
      <t>Screenshot</t>
    </r>
    <r>
      <rPr>
        <sz val="12"/>
        <color rgb="FF000000"/>
        <rFont val="Bahnschrift"/>
        <family val="2"/>
      </rPr>
      <t xml:space="preserve"> Pencatatan paket Non e-Tendering dan Non e-Purchasing pada SPSE atau Laporan Pencatatan paket Non e-Tendering dan Non e-Purchasing pada SPSE yang dikeluarkan oleh Biro PBJ</t>
    </r>
  </si>
  <si>
    <r>
      <t>Screenshot</t>
    </r>
    <r>
      <rPr>
        <sz val="12"/>
        <color rgb="FF000000"/>
        <rFont val="Bahnschrift"/>
        <family val="2"/>
      </rPr>
      <t xml:space="preserve"> Pencatatan paket transaksional pada e-Kontrak dalam SPSE atau Laporan Pencatatan paket transaksional pada e-Kontrak dalam SPSE yang dikeluarkan oleh Biro PBJ</t>
    </r>
  </si>
  <si>
    <r>
      <t>Screenshot</t>
    </r>
    <r>
      <rPr>
        <sz val="12"/>
        <color rgb="FF000000"/>
        <rFont val="Bahnschrift"/>
        <family val="2"/>
      </rPr>
      <t xml:space="preserve"> Pencatatan paket transaksional pada Toko Daring pada SPSE pada SPSE atau Laporan Pencatatan paket transaksional pada Toko Daring pada SPSE</t>
    </r>
  </si>
  <si>
    <t>Laporan Capaian Indikator Kinerja Penyelenggaraan Urusan yang menjadi core Bisnis Perangkat Daerah/Raport Kinerja Perangkat Daerah pada Lingkup Penyelenggaraan Urusan yang menjadi core bisnis Perangkat Daerah</t>
  </si>
  <si>
    <t>Laporan Capaian Indikator Kinerja Sekretaris Perangkat Daerah tentang Indeks Reformasi Birokrasi Perangkat Daerah/Raport Kinerja Perangkat Daerah pada Lingkup Sekretariat Perangkat Daerah</t>
  </si>
  <si>
    <t>Penetapan Indikator Kinerja Sekretariat Perangkat Daerah tentang Indeks Reformasi Birokrasi Perangkat Daerah pada Cascading Kinerja</t>
  </si>
  <si>
    <t>Penetapan Indikator Kinerja Penyelenggaraan Urusan yang menjadi core Bisnis Perangkat Daerah pada Cascading Kinerja</t>
  </si>
  <si>
    <t>STU dan Tim Independen</t>
  </si>
  <si>
    <t>Interval Nilai 
A. 91 - 100
B. 81 - 90
C. 71 - 80
D. 61 - 70
E. 41 - 60
F. 0 - 40</t>
  </si>
  <si>
    <t>Interval Nilai 
A. 91 - 100
B. 81 - 90
C. 61 - 80
D. 41 - 60
E. 0 - 40</t>
  </si>
  <si>
    <t xml:space="preserve">Cascading Kinerja Sekretariat Perangkat Daerah tentang Indeks Reformasi Birokrasi Perangkat Daerah </t>
  </si>
  <si>
    <t>Raport Kinerja Perangkat Daerah pada Lingkup Sekretariat Perangkat Daerah</t>
  </si>
  <si>
    <t>Cascading Kinerja Penyelenggaraan urusan yang menjadi core Bisnis Perangkat Daerah pada Bidang Teknis Perangkat Daerah</t>
  </si>
  <si>
    <t>Raport Kinerja Perangkat Daerah pada Lingkup Penyelenggaraan Urusan yang menjadi core bisnis Perangkat Daerah pada Bidang Teknis Perangkat Daerah</t>
  </si>
  <si>
    <t>Realisasi APBD Tahun Berjalan</t>
  </si>
  <si>
    <r>
      <t xml:space="preserve">Diisi dengan Persentasi realisasi APBD dibagi dengan Total APBD masing-masing Perangkat Daerah dikali 100% pada Tahun Berjalan
Rumus = </t>
    </r>
    <r>
      <rPr>
        <u/>
        <sz val="12"/>
        <color theme="1"/>
        <rFont val="Bahnschrift"/>
        <family val="2"/>
      </rPr>
      <t>Realisasi APBD Tahun Berjalan</t>
    </r>
    <r>
      <rPr>
        <sz val="12"/>
        <color theme="1"/>
        <rFont val="Bahnschrift"/>
        <family val="2"/>
      </rPr>
      <t xml:space="preserve"> x 100%
                                    Total APBD</t>
    </r>
  </si>
  <si>
    <r>
      <t xml:space="preserve">Diisi dengan Persentasi realisasi total APBD dibagi dengan Total APBD masing-masing Perangkat Daerah dikali 100% pada Tahun Sebelumnya
Rumus = </t>
    </r>
    <r>
      <rPr>
        <u/>
        <sz val="12"/>
        <color theme="1"/>
        <rFont val="Bahnschrift"/>
        <family val="2"/>
      </rPr>
      <t xml:space="preserve">Realisasi Akhir APBD Tahun Sebelumnya </t>
    </r>
    <r>
      <rPr>
        <sz val="12"/>
        <color theme="1"/>
        <rFont val="Bahnschrift"/>
        <family val="2"/>
      </rPr>
      <t>x 100%
                                              Total APBD</t>
    </r>
  </si>
  <si>
    <t>Berita Acara Capaian Kinerja APBD Tahun Berjalan</t>
  </si>
  <si>
    <t>Buku Laporan Realisasi Akhir APBD Tahun Sebelumnya</t>
  </si>
  <si>
    <t>Berita Acara Hasil Survey Implementasi Kamus Kompetensi ASN BerAKHLAK Tahun Sebelumnya/Tahun Berjalan</t>
  </si>
  <si>
    <t>Berita Acara Survey Kepuasan Masyarakat/screenshoot Aplikasi SKM Terintegrasi Real-Time Tahun Berjalan</t>
  </si>
  <si>
    <t>Nilai Rata-Rata Indeks Profesionalitas ASN Perangkat Daerah</t>
  </si>
  <si>
    <t>Kebijakan Pelayanan</t>
  </si>
  <si>
    <t>Tersedia Standar Pelayanan (SP) sesuai dengan ketentuan peraturan perundang-undangan yang berlaku</t>
  </si>
  <si>
    <t>A. Tidak tersedia Standar Pelayanan
B. Tersedia SP namun tidak memenuhi 14 Komponen
C. Tersedia SP yang memenuhi 14 komponen
D. Tersedia SP yang memenuhi 14 komponen dan dilakukan penetapan                                                                                                                                                                                                                        E. Tersedia SP yang memenuhi 14 komponen, melibatkan masyarakat dalam penyusunan SP, dan dilakukan penetapan                                                                                                                                                                                                                       F. Tersedia SP yang memenuhi 14 komponen, melibatkan masyarakat dalam penyusunan SP, dilakukan penetapan, dan dilakukan monev</t>
  </si>
  <si>
    <t>Proses penyusunan dan perubahan SP telah melibatkan unsur masyarakat</t>
  </si>
  <si>
    <t>A. Penyusunan SP tanpa melibatkan unsur masyarakat dan pihak terkait (stakeholder)
B. Penyusunan SP telah melibatkan minimal 1 unsur masyarakat
C. Penyusunan SP telah melibatkan minimal 2 unsur masyarakat
D. Penyusunan SP telah melibatkan minimal 3 unsur masyarakat                                                                                                                                                                                                                        E. Penyusunan SP telah melibatkan minimal 4 unsur masyarakat                                                                                                                                                                                                                       F. Penyusunan SP telah melibatkan lebih dari 4 unsur masyarakat</t>
  </si>
  <si>
    <t>A. Tidak ada publikasi SP
B. Tersedia publikasi SP hanya sebagian dari komponen service delivery baik pada media cetak/non elektronik maupun media elektronik
C. Tersedia publikasi SP seluruh komponen service delivery pada 2 atau lebih media publikasi namun belum dipublikasikan pada SIPP Nasional
D. Tersedia publikasi SP seluruh komponen service delivery pada 2 media publikasi dan pada SIPP Nasional                                                                                                                                                                                                                        E. Tersedia publikasi SP seluruh komponen service delivery pada 3 media publikasi dan pada SIPP Nasional                                                                                                                                                                                                                       F. Tersedia publikasi SP seluruh komponen service delivery pada 4 atau lebih media publikasi dan pada SIPP Nasional</t>
  </si>
  <si>
    <r>
      <t>Jumlah media publikasi untuk komponen S</t>
    </r>
    <r>
      <rPr>
        <i/>
        <sz val="12"/>
        <color theme="1"/>
        <rFont val="Bahnschrift"/>
        <family val="2"/>
      </rPr>
      <t>ervice Delivery</t>
    </r>
  </si>
  <si>
    <t>Telah dilakukan peninjauan ulang secara berkala terhadap Standar Pelayanan</t>
  </si>
  <si>
    <t>A. Tidak dilaksanakan peninjauan ulang secara berkala terhadap Standar Pelayanan
B. Dilakukan peninjauan ulang 3 tahun atau lebih terhadap seluruh jenis layanan
C. Dilakukan peninjauan ulang 2 tahun sekali terhadap sebagian jenis layanan
D. Dilakukan peninjauan ulang 2 tahun sekali terhadap seluruh jenis layanan                                                                                                                                                                                                                        E. Dilakukan peninjauan ulang 1 tahun sekali atau lebih cepat terhadap sebagian jenis layanan                                                                                                                                                                                                                       F. Dilakukan peninjauan ulang 1 tahun sekali atau lebih cepat terhadap seluruh jenis layanan</t>
  </si>
  <si>
    <t>Pemenuhan siklus Maklumat Pelayanan (ketersediaan, penetapan, dan publikasi)</t>
  </si>
  <si>
    <t>A. Tidak tersedia Maklumat Pelayanan
B. Tersedia Maklumat Pelayanan namun belum ditetapkan
C. Tersedia Maklumat Pelayanan yang sudah ditetapkan namun isinya belum sesuai dengan peraturan perundangan yang berlaku
D. Tersedia Maklumat Pelayanan yang sudah ditetapkan dan isinya telah sesuai dengan peraturan perundangan yang berlaku                                                                                                                                                                                                                        E. Tersedia Maklumat Pelayanan yang sudah ditetapkan, isinya telah sesuai dengan peraturan perundangan yang berlaku, dan dipublikasikan pada media non elektronik                                                                                                                                                                                                                       F. Tersedia Maklumat Pelayanan yang sudah ditetapkan, isinya telah sesuai dengan peraturan perundangan yang berlaku, dan dipublikasikan pada media non elektronik dan elektronik</t>
  </si>
  <si>
    <t>SKM yang dilaksanakan sesuai dengan PermenPANRB</t>
  </si>
  <si>
    <t>A. Belum melaksanakan SKM
B. Sudah melaksanakan SKM namun tidak sesuai dengan PermenPANRB yang berlaku
C. Sudah melaksanakan SKM sesuai dengan PermenPANRB yang berlaku
D. Sudah melaksanakan SKM sesuai dengan PermenPANRB yang berlaku dan dipublikasikan pada media non-elektronik                                                                                                                                                                                                                        E. Sudah melaksanakan SKM sesuai dengan PermenPANRB yang berlaku dan dipublikasikan pada media non-elektronik dan elektronik                                                                                                                                                                                                                       F. Sudah melaksanakan SKM sesuai dengan PermenPANRB yang berlaku dan dipublikasikan pada media non-elektronik dan elektronik serta dilakukan tindak lanjut hasil SKM</t>
  </si>
  <si>
    <t>Jumlah media publikasi hasil SKM</t>
  </si>
  <si>
    <t>A. Tidak dipublikasikan
B. SKM dipublikasikan pada 1 (satu) media publikasi
C. SKM dipublikasikan pada 2 (dua) media publikasi
D. SKM dipublikasikan pada 3 (tiga) media publikasi                                                                                                                                                                                                                        E. SKM dipublikasikan pada 4 (empat) media publikasi                                                                                                                                                                                                                       F. SKM dipublikasikan pada lebih dari 4 (empat) media publikasi lainnya</t>
  </si>
  <si>
    <t>Persentase rencana tindak lanjut hasil SKM yang telah selesai ditindaklanjuti</t>
  </si>
  <si>
    <t>A. Tidak ada rencana tindak lanjut SKM
B. Ada rencana tindak lanjut tapi belum dilaksanakan
C. Tindak lanjut hasil SKM dilaksanakan kurang dari 30%, dibuktikan dengan laporan pelaksanaannya
D. Tindak lanjut hasil SKM dilaksanakan 30-80%, dibuktikan dengan laporan pelaksanaannya                                                                                                                                                                                                                       E. Tindak lanjut hasil SKM dilaksanakan lebih dari 80%, dibuktikan dengan laporan pelaksanaannya                                                                                                                                                                                                                      F. Tindak lanjut hasil SKM dilaksanakan 100%, dibuktikan dengan laporan pelaksanaannya</t>
  </si>
  <si>
    <t>Kecepatan tindak lanjut hasil SKM seluruh jenis pelayanan</t>
  </si>
  <si>
    <t>A. Rekomendasi hasil SKM tidak ditindaklanjuti
B. Rekomendasi hasil SKM ditindaklanjuti seluruhnya 1 tahun setelah laporan SKM diterbitkan
C. Rekomendasi hasil SKM ditindaklanjuti seluruhnya 9 bulan setelah laporan SKM diterbitkan
D. Rekomendasi hasil SKM ditindaklanjuti seluruhnya 6 bulan setelah laporan SKM diterbitkan                                                                                                                                                                                                                        E. Rekomendasi hasil SKM ditindaklanjuti seluruhnya 3 bulan setelah laporan SKM diterbitkan                                                                                                                                                                                                                       F. Rekomendasi hasil SKM ditindaklanjuti seluruhnya 1 bulan setelah laporan SKM diterbitkan</t>
  </si>
  <si>
    <t>Profesionalisme Sumber Daya Manusia (SDM)</t>
  </si>
  <si>
    <t>Tersedia waktu pelayanan yang memudahkan pengguna layanan</t>
  </si>
  <si>
    <t>A. Tidak memiliki kebijakan jam pelayanan/kerja
B. Memiliki kebijakan jam pelayanan/kerja
C. Memiliki kebijakan jam pelayanan/kerja dan 1 unsur lainnya
D. Memiliki kebijakan jam pelayanan/kerja dan 2 unsur lainnya                                                                                                                                                                                                                        E. Memiliki kebijakan jam pelayanan/kerja dan 3 unsur lainnya                                                                                                                                                                                                                       F. Memiliki kebijakan jam pelayanan/kerja dan 4 atau lebih unsur lainnya</t>
  </si>
  <si>
    <t>Tersedia Kode Etik dan Kode Perilaku Pelaksana dan/atau Budaya Pelayanan di lingkungan instansi</t>
  </si>
  <si>
    <t>A. Tidak tersedia aturan kode etik dan kode perilaku
B. Aturan kode etik dan kode perilaku Pelaksana Pelayanan hanya meliputi nilai dasar hak dan kewajiban
C. Aturan kode etik dan kode perilaku Pelaksana Pelayanan meliputi nilai dasar hak kewajiban dan 1 (satu) unsur lainnya
D. Aturan kode etik dan kode perilaku Pelaksana Pelayanan meliputi nilai dasar hak dan kewajiban dan 2 (dua) unsur lainnya                                                                                                                                                                                                                        E. Aturan kode etik dan kode perilaku Pelaksana Pelayanan meliputi nilai dasar hak dan kewajiban dan 3 (tiga) unsur lainnya                                                                                                                                                                                                                       F. Aturan kode etik dan kode perilaku Pelaksana Pelayanan meliputi nilai dasar hak dan kewajiban dan 4 (empat) unsur lainnya</t>
  </si>
  <si>
    <t>Tersedia mekanisme yang dibangun untuk menjaga dan meningkatkan motivasi kerja Pelaksana pelayanan</t>
  </si>
  <si>
    <t>A. Tidak tersedia mekanisme peningkatan motivasi kerja
B. Tersedia 1 jenis mekanisme peningkatan motivasi kerja
C. Tersedia 2 jenis mekanisme peningkatan motivasi kerja
D. Tersedia 3 jenis mekanisme peningkatan motivasi kerja                                                                                                                                                                                                                        E. Tersedia 4 jenis mekanisme peningkatan motivasi kerja                                                                                                                                                                                                                       F. Tersedia lebih dari 4 jenis mekanisme peningkatan motivasi kerja</t>
  </si>
  <si>
    <t>Tersedia kriteria pemberian penghargaan bagi pegawai yang berprestasi</t>
  </si>
  <si>
    <t>A. Tidak ada pemberian penghargaan
B. Ada pemberian penghargaan hanya berdasarkan 1-2 unsur kecuali kinerja
C. Ada pemberian penghargaan berdasarkan 3-5 unsur kecuali kinerja
D. Ada pemberian penghargaan berdasarkan 1-2 unsur termasuk kinerja                                                                                                                                                                                                                        E. Ada pemberian penghargaan berdasarkan 3-4 unsur termasuk kinerja                                                                                                                                                                                                                       F. Ada pemberian penghargaan berdasarkan 5-6 unsur termasuk kinerja</t>
  </si>
  <si>
    <t>Tersedia pelaksana yang menerapkan budaya pelayanan</t>
  </si>
  <si>
    <t>A. Tidak menerapkan budaya layanan
B. Pelaksana pelayanan menerapkan 1 (satu) unsur budaya pelayanan
C. Pelaksana pelayanan menerapkan 2 (dua) unsur budaya pelayanan
D. Pelaksana pelayanan menerapkan 3 (tiga) unsur budaya pelayanan                                                                                                                                                                                                                        E. Pelaksana pelayanan menerapkan 4 (empat) unsur budaya pelayanan                                                                                                                                                                                                                       F. Pelaksana pelayanan menerapkan 5 (lima) unsur budaya pelayanan</t>
  </si>
  <si>
    <t>Sarana dan Prasarana</t>
  </si>
  <si>
    <t>Tersedia tempat parkir dengan fasilitas pendukung yang memadai</t>
  </si>
  <si>
    <t>A. Tidak tersedia tempat parkir
B. Tersedia tempat parkir dan memiliki 1 atau lebih fasilitas parkir
C. Tersedia tempat parkir dan memiliki 2 atau lebih fasilitas parkir
D.Tersedia tempat parkir dan memiliki 3 atau lebih fasilitas parkir                                                                                                                                                                                                                       E. Tersedia tempat parkir dan memiliki 4 atau lebih fasilitas parkir                                                                                                                                                                                                                       F. Tersedia tempat parkir dan memiliki 5 atau lebih fasilitas parkir</t>
  </si>
  <si>
    <t>Tersedia ruang tunggu dengan fasilitas wajib dan pelengkap</t>
  </si>
  <si>
    <t>A. Tidak tersedia fasilitas apapun
B. Tersedia fasilitas wajib
C. Tersedia fasilitas wajib dan 1 fasilitas pelengkap
D. Tersedia fasilitas wajib dan 2 fasilitas pelengkap                                                                                                                                                                                                                        E. Tersedia fasilitas wajib dan 3 fasilitas pelengkap                                                                                                                                                                                                                       F. Tersedia fasilitas wajib dan 4 atau lebih fasilitas pelengkap</t>
  </si>
  <si>
    <t>Tersedia sarana toilet pengguna layanan yang layak pakai</t>
  </si>
  <si>
    <t>A. Tidak tersedia toilet pengguna layanan
B. Toilet pengguna layanan dengan 1 kondisi
C. Toilet pengguna layanan dengan 2 kondisi
D. Toilet pengguna layanan dengan 3 kondisi                                                                                                                                                                                                                E. Toilet pengguna layanan dengan 4 kondisi                                                                                                                                                                                                                       F. Toilet pengguna layanan dengan lebih dari 4 kondisi</t>
  </si>
  <si>
    <t>Tersedia sarana prasarana bagi pengguna layanan kelompok rentan</t>
  </si>
  <si>
    <t>A. Tidak tersedia sarana prasarana bagi pengguna layanan kelompok rentan
B. Tersedia 1-3 sarana prasarana bagi pengguna layanan kelompok rentan
C. Tersedia 4-6 sarana prasarana bagi pengguna layanan kelompok rentan
D. Tersedia 7-9 sarana prasarana bagi pengguna layanan kelompok rentan                                                                                                                                                                                                                E. Tersedia 10-12 sarana prasarana bagi pengguna layanan kelompok rentan                                                                                                                                                                                                                       F. Tersedia 13 atau lebih sarana prasarana bagi pengguna layanan kelompok rentan</t>
  </si>
  <si>
    <t>Tersedia sarana prasarana penunjang</t>
  </si>
  <si>
    <t>A. Tidak tersedia fasilitas penunjang
B. Tersedia 1 fasilitas penunjang
C. Tersedia 2 fasilitas penunjang
D. Tersedia 3 fasilitas penunjang                                                                                                                                                                                                                        E. Tersedia 4 fasilitas penunjang                                                                                                                                                                                                                       F. Tersedia 5 atau lebih fasilitas penunjang</t>
  </si>
  <si>
    <t>Sarana Front Office (FO) Informasi di unit layanan</t>
  </si>
  <si>
    <t>A. Tidak tersedia sarana FO informasi layanan
B. Tersedia sarana FO informasi layanan dengan 1 fasilitas
C. Tersedia sarana FO informasi layanan dengan 2 fasilitas
D.Tersedia sarana FO informasi layanan dengan 3 fasilitas                                                                                                                                                                                                                        E. Tersedia sarana FO informasi layanan dengan 4 fasilitas                                                                                                                                                                                                                       F. Tersedia sarana FO informasi layanan dengan 5 atau lebih fasilitas</t>
  </si>
  <si>
    <t>Sistem Informasi Pelayanan Publik</t>
  </si>
  <si>
    <t>Tersedia sistem informasi pelayanan publik untuk informasi publik</t>
  </si>
  <si>
    <t>A. Tidak tersedia sistem informasi pelayanan publik baik elektronik maupun non elektronik
B. Tersedia sistem informasi pelayanan publik non elektronik melalui media lisan (pusat informasi)
C. Tersedia sistem informasi pelayanan publik non elektronik melalui media lisan (pusat informasi) serta media papan pengumuman dan media cetak
D. Tersedia Sistem informasi pelayanan publik elektronik namun belum online (e-kiosk/ display TV/ layar monitor)                                                                                                                                                                                                                        E. Tersedia Sistem informasi pelayanan publik berbasis online/website                                                                                                                                                                                                                       F. Sistem informasi pelayanan publik telah online/website dan terhubung dengan sistem informasi pelayanan publik nasional serta telah menginput layanan yang ditetapkan ke dalam sistem informasi pelayanan publik nasional</t>
  </si>
  <si>
    <t>Tersedia sistem informasi pelayanan publik pendukung operasional pelayanan</t>
  </si>
  <si>
    <t>A. Tidak tersedia sistem informasi pendukung operasional pelayanan publik
B. Tersedia sistem informasi pendukung operasional pelayanan dengan 1 kondisi
C. Tersedia sistem informasi pendukung operasional pelayanan dengan 2 kondisi
D. Tersedia sistem informasi pendukung operasional pelayanan dengan 3 kondisi                                                                                                                                                                                                                        E. Tersedia sistem informasi pendukung operasional pelayanan dengan 4 kondisi                                                                                                                                                                                                                       F. Tersedia sistem informasi pendukung operasional pelayanan dengan lebih dari 4 kondisi</t>
  </si>
  <si>
    <t>Kualitas penggunaan SIPP Elektronik (Website/Aplikasi)</t>
  </si>
  <si>
    <t>A. SIPP Elektronik tidak terhubung secara daring
B. SIPP Elektronik berbasis website/aplikasi mudah dioperasikan
C. SIPP Elektronik berbasis website/aplikasi mudah dioperasikan, mudah diakses
D.SIPP Elektronik berbasis website/aplikasi mudah dioperasikan, mudah diakses, navigasi yang mudah dipahami                                                                                                                                                                                                                        E. SIPP Elektronik berbasis website/aplikasi yang mudah dioperasikan, mudah diakses, navigasi yang mudah dipahami, merupakan kanal digital resmi pemerintah (domain.go.id)                                                                                                                                                                                                                     F. SIPP Elektronik berbasis website/aplikasi yang mudah dioperasikan, mudah diakses, navigasi yang mudah dipahami, merupakan kanal digital resmi pemerintah (domain.go.id) dan kompatibel</t>
  </si>
  <si>
    <t>Pemutakhiran data dan informasi kanal digital</t>
  </si>
  <si>
    <t>A.Tersedia data dan informasi pelayanan publik yang tidak dimutakhirkan
B. Pemutakhiran data dan informasi pelayanan publik telah dilakukan secara tahunan
C. Pemutakhiran data dan informasi pelayanan publik telah dilakukan secara semesteran
D.Pemutakhiran data dan informasi pelayanan publik secara bulanan                                                                                                                                                                                                                        E. Pemutakhiran data dan informasi pelayanan publik dilakukan secara mingguan                                                                                                                                                                                                                       F. Pemutakhiran data dan informasi pelayanan publik dilakukan secara harian dan detail/sangat lengkap</t>
  </si>
  <si>
    <t>1.4</t>
  </si>
  <si>
    <t>Konsultasi dan Pengaduan</t>
  </si>
  <si>
    <t>Tersedia sarana konsultasi dan pengaduan secara tatap muka yang berkualitas</t>
  </si>
  <si>
    <t>A.Tidak tersedia Sarana konsultasi pengaduan pengguna layanan
B. Sarana konsultasi pengaduan pengguna layanan dengan 1 fasilitas
C. Sarana konsultasi pengaduan pengguna layanan dengan 2 fasilitas
D. Sarana konsultasi pengaduan pengguna layanan dengan 3 fasilitas                                                                                                                                                                                                                        E. Sarana konsultasi pengaduan pengguna layanan dengan 4 fasilitas                                                                                                                                                                                                                       F. Sarana konsultasi pengaduan pengguna layanan dengan 5 atau lebih fasilitas</t>
  </si>
  <si>
    <t>Tersedia sarana dan media konsultasi serta pengaduan yang bisa dimanfaatkan semua lapisan masyarakat</t>
  </si>
  <si>
    <t>A. Tidak ada sarana dan petugas
B. Hanya terdapat media konsultasi dan pengaduan secara offline menyatu dengan front office
C. Hanya terdapat media konsultasi dan pengaduan secara offline namun terpisah dengan front office
D. Terdapat media konsultasi dan pengaduan secara offline menyatu satu dengan front office dan tersedia secara online                                                                                                                                                                                                                        E. Terdapat media konsultasi dan pengaduan secara offline secara terpisah dari front office, serta tersedia secara online                                                                                                                                                                                                                       F. Terdapat media konsultasi dan pengaduan secara offline terpisah dari front office, dan terhubung dengan SP4N-LAPOR!</t>
  </si>
  <si>
    <t>Tersedia akuntabilitas hasil konsultasi dan/atau pengaduan</t>
  </si>
  <si>
    <t>A. Tidak ada dokumentasi
B. Terdapat dokumentasi yang diarsipkan
C. Terdapat dokumentasi yang diarsipkan dan dituangkan dalam laporan
D.Terdapat dokumentasi diarsipkan, dituangkan dalam laporan, dan dilakukan monev                                                                                                                                                                                                                        E. Terdapat dokumentasi diarsipkan, dituangkan dalam laporan, dilakukan monev, dan ditindaklanjuti                                                                                                                                                                                                                       F. Terdapat dokumentasi diarsipkan, dituangkan dalam laporan, dilakukan monev, ditindaklanjuti, dan dipublikasikan</t>
  </si>
  <si>
    <t>Tersedia tindak lanjut atas konsultasi dan pengaduan dari semua lapisan masyarakat</t>
  </si>
  <si>
    <t>A.Tidak ada konsultasi atau pengaduan yang ditindaklanjuti
B. &lt; 50% konsultasi atau pengaduan ditindaklanjuti hingga selesai yang tidak menggunakan SP4N-LAPOR!
C. 50% konsultasi atau pengaduan ditindaklanjuti hingga selesai yang tidak menggunakan SP4N-LAPOR!
D. &lt; 50% konsultasi atau pengaduan yang masuk ke SP4N-LAPOR! dan ditindaklanjuti hingga selesai                                                                                                                                                                                                                        E. 50% - 90% konsultasi atau pengaduan yang masuk ke SP4N-LAPOR! dan ditindaklanjuti hingga selesai                                                                                                                                                                                                                       F. 90% konsultasi atau pengaduan yang masuk ke SP4N-LAPOR! dan ditindaklanjuti hingga selesai</t>
  </si>
  <si>
    <t>1.6</t>
  </si>
  <si>
    <t>1.5</t>
  </si>
  <si>
    <t>Inovasi</t>
  </si>
  <si>
    <t>Penciptaan Inovasi Pelayanan Publik</t>
  </si>
  <si>
    <t>A. Tidak tersedia inovasi
B. Belum ada inovasi, masih dalam proses pembelajaran berinovasi
C. Sudah ada inovasi namun kurang dari 1 tahun
D. Sudah ada inovasi lebih dari 1 tahun namun belum diikutsertakan dalam kompetisi (level apapun)                                                                                                                                                                                                                        E. Sudah ada inovasi lebih dari 1 tahun dan sudah diikutsertakan dalam kompetisi level apapun                                                                                                                                                                                                                       F. Inovasi yang dilaksanakan sudah mendapatkan prestasi pada level (apapun)</t>
  </si>
  <si>
    <t>Sumber daya yang mendukung keberlanjutan Inovasi Pelayanan Publik</t>
  </si>
  <si>
    <t>A. Belum ada sumber daya yang mendukung keberlanjutan inovasi
B. Sumber daya yang mendukung keberlanjutan inovasi dalam bentuk rancangan payung hukum
C. Sumber daya yang mendukung keberlanjutan inovasi dalam bentuk payung hukum
D. Sumber daya yang mendukung keberlanjutan inovasi dalam bentuk payung hukum dan 1 kondisi lainnya                                                                                                                                                                                                                        E. Sumber daya yang mendukung keberlanjutan inovasi dalam bentuk payung hukum dan 2 kondisi lainnya                                                                                                                                                                                                                       F. Sumber daya yang mendukung keberlanjutan inovasi dalam bentuk payung hukum dan 3 kondisi lainnya</t>
  </si>
  <si>
    <t>Tersedia sistem antrian untuk menunjang pelayanan</t>
  </si>
  <si>
    <t>A. Tidak tersedia sistem antrian
B. Tersedia sistem antrian dengan 1 fasilitas
C. Tersedia sistem antrian dengan 2 fasilitas
D. Tersedia sistem antrian dengan 3 fasilitas                                                                                                                                                                                                                        E. Tersedia sistem antrian dengan 4 fasilitas                                                                                                                                                                                                                       F. Tersedia sistem antrian dengan lebih dari 4 fasilitas</t>
  </si>
  <si>
    <t>BIRO ORGANISASI</t>
  </si>
  <si>
    <r>
      <t xml:space="preserve">1. Dokumen yang menunjukkan ketersediaan Standar Pelayanan dan Maklumat Pelayanan (SK Penetapan) </t>
    </r>
    <r>
      <rPr>
        <b/>
        <sz val="12"/>
        <color theme="1"/>
        <rFont val="Bahnschrift"/>
        <family val="2"/>
      </rPr>
      <t>Sesuai PermenPANRB No. 15 Tahun 2014</t>
    </r>
    <r>
      <rPr>
        <sz val="12"/>
        <color theme="1"/>
        <rFont val="Bahnschrift"/>
        <family val="2"/>
      </rPr>
      <t xml:space="preserve">                                                     2. *Jika ada* Dokumen hasil Reviu SP (Berita Acara, Notulensi dan Dokumentasi)                                                                                                                          3. Laporan Hasil Survei Kepuasan Masyarakat dan Laporan hasil tindaklanjut hasil SKM </t>
    </r>
    <r>
      <rPr>
        <b/>
        <sz val="12"/>
        <color theme="1"/>
        <rFont val="Bahnschrift"/>
        <family val="2"/>
      </rPr>
      <t>sesuai PermenPANRB No. 16 Tahun 2017</t>
    </r>
    <r>
      <rPr>
        <sz val="12"/>
        <color theme="1"/>
        <rFont val="Bahnschrift"/>
        <family val="2"/>
      </rPr>
      <t xml:space="preserve">
4. Laporan pelaksanaan FKP (Surat undangan rapat/pertemuan/ FGD, Berita Acara, Daftar Hadir, Notulensi, Dokumentasi) </t>
    </r>
    <r>
      <rPr>
        <b/>
        <sz val="12"/>
        <color theme="1"/>
        <rFont val="Bahnschrift"/>
        <family val="2"/>
      </rPr>
      <t>sesuai PermenPANRB No. 14 Tahun 2017</t>
    </r>
    <r>
      <rPr>
        <sz val="12"/>
        <color theme="1"/>
        <rFont val="Bahnschrift"/>
        <family val="2"/>
      </rPr>
      <t xml:space="preserve">
5. Publikasi baik SP, MP, dan Nilai SKM (Media Cetak/Non Elektronik, Media Elektronik, Media Sosial, SIPPN)</t>
    </r>
  </si>
  <si>
    <t xml:space="preserve">1. SK/Peraturan yang berlaku terkait Penetapan Jam Kerja (Hari Kerja, Penambahan waktu diluar jam kerja ataupun kondisi tertentu)
2. Publikasi Waktu Pelayanan
</t>
  </si>
  <si>
    <t xml:space="preserve">1. Dokumen Penetapan (SK) terkait Kode Etik (Dengan unsur meliputi Hak &amp; Kewajiban, Larangan KKN, Larangan Diskriminasi, Sanksi dan Penghargaan) 
2. Publikasi Kode Etik di ruang pelayanan </t>
  </si>
  <si>
    <t xml:space="preserve">Dokumentasi Pelaksanaan Kegiatan Peningkatan Motivasi, antara lain dengan pemberian penghargaan, pemberian kesempatan mengikuti diklat, beasiswa, konseling, maupun mekanisme lainnya yang dapat meningkatkan motivasi kerja pegawai
</t>
  </si>
  <si>
    <t xml:space="preserve">SK Penetapan oleh Kepala Unit terkait Kriteria Penerima Penghargaan (Umumnya dilihat dari Kinerja Pegawai, Kehadiran, Kerjasama tim, memiliki inovasi, berpenampilan menarik ataupun belum pernah mendapat komplain dari penerima layanan)
</t>
  </si>
  <si>
    <t xml:space="preserve">Dokumentasi Petugas Layanan dengan Budaya Pelayanan yakni memakai seragam khusus, memakai Identitas nama, PIN/Atribut/Logo, menerapkan 5S </t>
  </si>
  <si>
    <t>Ketersediaan Fasilitas Parkir antara lain Parkir Roda 2 dan Roda 4 yang terpisah dan diberi marka, petugas perkir jika ada, karcis parkir, CCTV, penitipan jaket/helm, dan  Kanopi</t>
  </si>
  <si>
    <t>Ketersediaan Fasilitas Ruang Tunggu, dibagi menjadi Fasilitas Wajib (Kursi Tunggu dan Pendingin/sirkulasi ruangan) dan Fasilitas Penunjang (Mesin Antrian, TV, Bahan Bacaan, Pengisi Daya, Wifi, Air Minum dll)</t>
  </si>
  <si>
    <t>Ketersediaan fasilitas toilet (terpisah laki-laki/perempuan), wastafel, toiletries, air bersih serta terdapat SK petugas membersihkan toilet</t>
  </si>
  <si>
    <r>
      <t xml:space="preserve">Ketersediaan Fasilitas Sarpras bagi Kelompok Rentan </t>
    </r>
    <r>
      <rPr>
        <b/>
        <sz val="12"/>
        <color theme="1"/>
        <rFont val="Bahnschrift"/>
        <family val="2"/>
      </rPr>
      <t>sesuai dengan Surat Edaran Menteri PANRB Nomor 66 Tahun 2020</t>
    </r>
  </si>
  <si>
    <t>Ketersediaan Fasilitas Penunjang (Fotokopi/ATK, Kotak P3K, APAR, Kantin, Ruang Ibadah, Area Merokok, Jalur Evaluasi, Tempat Sampah dan CCTV)</t>
  </si>
  <si>
    <r>
      <t xml:space="preserve">Ketersediaan Fasilitas </t>
    </r>
    <r>
      <rPr>
        <i/>
        <sz val="12"/>
        <color theme="1"/>
        <rFont val="Bahnschrift"/>
        <family val="2"/>
      </rPr>
      <t xml:space="preserve">Front Office  </t>
    </r>
    <r>
      <rPr>
        <sz val="12"/>
        <color theme="1"/>
        <rFont val="Bahnschrift"/>
        <family val="2"/>
      </rPr>
      <t>(Petugas Khusus, Meja/Kursi, Layar Display Informasi, Bahan Cetak Informasi layanan, serta Register Tamu baik manual maupun elektronik)</t>
    </r>
  </si>
  <si>
    <r>
      <rPr>
        <i/>
        <sz val="12"/>
        <color theme="1"/>
        <rFont val="Bahnschrift"/>
        <family val="2"/>
      </rPr>
      <t xml:space="preserve">Screenshot  </t>
    </r>
    <r>
      <rPr>
        <sz val="12"/>
        <color theme="1"/>
        <rFont val="Bahnschrift"/>
        <family val="2"/>
      </rPr>
      <t>dari Sistem Informasi yang dimiliki (SIPPN)</t>
    </r>
  </si>
  <si>
    <r>
      <t xml:space="preserve">Screenshot  dari Sistem Informasi Pendukung Layanan (SP4N Lapor!, SKM, </t>
    </r>
    <r>
      <rPr>
        <i/>
        <sz val="12"/>
        <color theme="1"/>
        <rFont val="Bahnschrift"/>
        <family val="2"/>
      </rPr>
      <t xml:space="preserve">Website  </t>
    </r>
    <r>
      <rPr>
        <sz val="12"/>
        <color theme="1"/>
        <rFont val="Bahnschrift"/>
        <family val="2"/>
      </rPr>
      <t>Pengelola Kepegawaian, FAQ, Pengelolaan keuangan pelayanan publik bagi layanan berbayar)</t>
    </r>
  </si>
  <si>
    <t>Screenshot  dari Sistem Informasi yang dimiliki berupa website dengan melihat aspek yakni tata letak, kejelasan menu, kemudahan bagi pengguna website, kompatibilitas tampilan website serta domain situs pemerintahan</t>
  </si>
  <si>
    <t>Screenshot  Pemutakhiran/Unggahan Berkala yang dilakukan oleh Unit Pelayanan</t>
  </si>
  <si>
    <t>Ketersediaan Sarana pada ruang Konsultasi dan Pengaduan, berupa Kotak Saran, Ruang Khusus, Petugas Khusus, Air Minum, Register Tamu, serta publikasi terkait informasi mekanisme konsultasi pengaduan (dapat berupa poster/spanduk/buku/bahan cetak lainnya)</t>
  </si>
  <si>
    <t>Screenshot media konsultasi pengaduan maupun keterhubugan Instansi dengan SP4N Lapor diambil dari tampilan login admin</t>
  </si>
  <si>
    <t>Dokumen atau Screenshoot bukti pengelolaan pengaduan, jika tidak terdapat pengaduan melalui SP4N LAPOR, sarana ini dapat dimanfaatkan untuk pengelolaan konsultasi pengaduan secara manual guna mempermudah rekap konsultasi dan pengaduan</t>
  </si>
  <si>
    <t>Dokumen tindaklanjut dari hasil Konsultasi ataupun pengaduan yang masuk</t>
  </si>
  <si>
    <t xml:space="preserve">1. SK Launching / Penetapan Pelaksanaan Inovasi
2. SK Inovator
</t>
  </si>
  <si>
    <t xml:space="preserve">Bentuk Pelembagaan Inovasi
1. Anggaran (Bahwa Inovasi tersebut dianggarkan)
2. Sarana dan Prasarana (Dokumentasi Sarpras pendukung inovasi)
3. SDM (SK Perorangan dan /atau tim yang menginisiasi penciptaan inovasi </t>
  </si>
  <si>
    <t>Ketersediaan mesin antrian</t>
  </si>
  <si>
    <t>Indeks Kualitas Pelayanan Publik</t>
  </si>
  <si>
    <t>Nilai Pengukuran Kualitas Pelayanan Publik Perangkat Daerah</t>
  </si>
  <si>
    <t>Sesuai dengan standar teknis pembangunan/pengembangan aplikasi di lingkungan Pemerintah Provinsi Sulawesi Tengah (Koordinasi dengan bidang aptika diskominfo)</t>
  </si>
  <si>
    <t>Telah menggunakan SIAP Sulteng</t>
  </si>
  <si>
    <t>Screenshot Pemanfaatan SIAP Sulteng dan menu-menu layanan kepegawaian di dalam SIAP Sulteng (untuk PD lain)</t>
  </si>
  <si>
    <t>Screenshot Pemanfaatan SRIKANDI</t>
  </si>
  <si>
    <t>Telah menggunakan SRIKANDI</t>
  </si>
  <si>
    <t>Telah menggunakan aplikasi terkait Aset (BMD)</t>
  </si>
  <si>
    <t>Telah menggunakan (e-SAKIP)</t>
  </si>
  <si>
    <t>Telah menggunakan eKinerja</t>
  </si>
  <si>
    <t>Screenshot Pemanfaatan eKinerja</t>
  </si>
  <si>
    <t>Biro Hukum Setda</t>
  </si>
  <si>
    <t>1.	Screenshot media Publikasi SP4N-LAPOR pada website, media sosial;
2.	Dokumentasi foto publikasi media luar ruang seperti spanduk, banner, baliho, xbanner, dll</t>
  </si>
  <si>
    <t>Laporan Rekapitulasi Indeks Profesional ASN pada Aplikasi SIAP Sulteng/ My SAPK masing-masing perangkat daerah</t>
  </si>
  <si>
    <t>Laporan Pelaksanaan Penggunaan Produk Dalam Negeri pada Pengadaan Barang/Jasa Pemerintah melalui aplikasi SIPD P3DN dan Aplikasi Bigbox LKPP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</si>
</sst>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1"/>
      <color theme="1"/>
      <name val="Calibri"/>
      <family val="2"/>
      <scheme val="minor"/>
    </font>
    <font>
      <b/>
      <sz val="12"/>
      <color theme="0"/>
      <name val="Bahnschrift"/>
      <family val="2"/>
    </font>
    <font>
      <sz val="12"/>
      <color theme="1"/>
      <name val="Bahnschrift"/>
      <family val="2"/>
    </font>
    <font>
      <b/>
      <sz val="10"/>
      <color theme="1"/>
      <name val="Bahnschrift"/>
      <family val="2"/>
    </font>
    <font>
      <sz val="10"/>
      <color theme="1"/>
      <name val="Bahnschrift"/>
      <family val="2"/>
    </font>
    <font>
      <sz val="10"/>
      <name val="Bahnschrift"/>
      <family val="2"/>
    </font>
    <font>
      <sz val="10"/>
      <color theme="0"/>
      <name val="Bahnschrift"/>
      <family val="2"/>
    </font>
    <font>
      <i/>
      <sz val="10"/>
      <color theme="1"/>
      <name val="Bahnschrift"/>
      <family val="2"/>
    </font>
    <font>
      <sz val="10"/>
      <color rgb="FF000000"/>
      <name val="Bahnschrift"/>
      <family val="2"/>
    </font>
    <font>
      <sz val="8"/>
      <name val="Calibri"/>
      <family val="2"/>
      <scheme val="minor"/>
    </font>
    <font>
      <sz val="12"/>
      <color theme="0"/>
      <name val="Bahnschrift"/>
      <family val="2"/>
    </font>
    <font>
      <b/>
      <sz val="12"/>
      <color theme="1"/>
      <name val="Bahnschrift"/>
      <family val="2"/>
    </font>
    <font>
      <b/>
      <sz val="12"/>
      <name val="Bahnschrift"/>
      <family val="2"/>
    </font>
    <font>
      <i/>
      <sz val="12"/>
      <color theme="1"/>
      <name val="Bahnschrift"/>
      <family val="2"/>
    </font>
    <font>
      <sz val="12"/>
      <name val="Bahnschrift"/>
      <family val="2"/>
    </font>
    <font>
      <b/>
      <sz val="12"/>
      <color rgb="FF000000"/>
      <name val="Bahnschrift"/>
      <family val="2"/>
    </font>
    <font>
      <sz val="12"/>
      <color rgb="FF000000"/>
      <name val="Bahnschrift"/>
      <family val="2"/>
    </font>
    <font>
      <sz val="9"/>
      <color indexed="81"/>
      <name val="Tahoma"/>
      <family val="2"/>
    </font>
    <font>
      <b/>
      <i/>
      <sz val="12"/>
      <color theme="1"/>
      <name val="Bahnschrift"/>
      <family val="2"/>
    </font>
    <font>
      <b/>
      <sz val="9"/>
      <color indexed="81"/>
      <name val="Tahoma"/>
      <family val="2"/>
    </font>
    <font>
      <sz val="11"/>
      <color theme="1"/>
      <name val="Calibri"/>
      <family val="2"/>
      <scheme val="minor"/>
    </font>
    <font>
      <i/>
      <sz val="12"/>
      <color rgb="FF000000"/>
      <name val="Bahnschrift"/>
      <family val="2"/>
    </font>
    <font>
      <u/>
      <sz val="12"/>
      <color theme="1"/>
      <name val="Bahnschrift"/>
      <family val="2"/>
    </font>
  </fonts>
  <fills count="20">
    <fill>
      <patternFill patternType="none"/>
    </fill>
    <fill>
      <patternFill patternType="gray125"/>
    </fill>
    <fill>
      <patternFill patternType="solid">
        <fgColor theme="8"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79998168889431442"/>
        <bgColor rgb="FFDEEAF6"/>
      </patternFill>
    </fill>
    <fill>
      <patternFill patternType="solid">
        <fgColor theme="9" tint="0.59999389629810485"/>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8" tint="0.79998168889431442"/>
        <bgColor rgb="FFDEEAF6"/>
      </patternFill>
    </fill>
    <fill>
      <patternFill patternType="solid">
        <fgColor rgb="FFFFC000"/>
        <bgColor indexed="64"/>
      </patternFill>
    </fill>
    <fill>
      <patternFill patternType="solid">
        <fgColor rgb="FFE2EFD9"/>
        <bgColor rgb="FFE2EFD9"/>
      </patternFill>
    </fill>
    <fill>
      <patternFill patternType="solid">
        <fgColor theme="9" tint="0.79998168889431442"/>
        <bgColor rgb="FFE2EFD9"/>
      </patternFill>
    </fill>
    <fill>
      <patternFill patternType="solid">
        <fgColor theme="9" tint="0.59999389629810485"/>
        <bgColor rgb="FFDEEAF6"/>
      </patternFill>
    </fill>
    <fill>
      <patternFill patternType="solid">
        <fgColor theme="8" tint="0.59999389629810485"/>
        <bgColor indexed="64"/>
      </patternFill>
    </fill>
    <fill>
      <patternFill patternType="solid">
        <fgColor theme="8" tint="0.59999389629810485"/>
        <bgColor rgb="FFDEEAF6"/>
      </patternFill>
    </fill>
    <fill>
      <patternFill patternType="solid">
        <fgColor theme="9" tint="0.79998168889431442"/>
        <bgColor rgb="FFFF0000"/>
      </patternFill>
    </fill>
    <fill>
      <patternFill patternType="solid">
        <fgColor rgb="FFE2EFDA"/>
        <bgColor indexed="64"/>
      </patternFill>
    </fill>
  </fills>
  <borders count="3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bottom/>
      <diagonal/>
    </border>
    <border>
      <left/>
      <right style="thin">
        <color rgb="FF000000"/>
      </right>
      <top/>
      <bottom/>
      <diagonal/>
    </border>
    <border>
      <left style="thin">
        <color indexed="64"/>
      </left>
      <right/>
      <top/>
      <bottom/>
      <diagonal/>
    </border>
    <border>
      <left/>
      <right/>
      <top style="thin">
        <color indexed="64"/>
      </top>
      <bottom/>
      <diagonal/>
    </border>
    <border>
      <left style="thin">
        <color rgb="FF000000"/>
      </left>
      <right/>
      <top/>
      <bottom/>
      <diagonal/>
    </border>
    <border>
      <left style="thin">
        <color rgb="FF000000"/>
      </left>
      <right/>
      <top/>
      <bottom style="thin">
        <color indexed="64"/>
      </bottom>
      <diagonal/>
    </border>
    <border>
      <left style="thin">
        <color indexed="64"/>
      </left>
      <right style="thin">
        <color indexed="64"/>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s>
  <cellStyleXfs count="2">
    <xf numFmtId="0" fontId="0" fillId="0" borderId="0"/>
    <xf numFmtId="9" fontId="20" fillId="0" borderId="0" applyFont="0" applyFill="0" applyBorder="0" applyAlignment="0" applyProtection="0"/>
  </cellStyleXfs>
  <cellXfs count="424">
    <xf numFmtId="0" fontId="0" fillId="0" borderId="0" xfId="0"/>
    <xf numFmtId="0" fontId="2" fillId="0" borderId="0" xfId="0" applyFont="1" applyAlignment="1">
      <alignment horizontal="center" vertical="center" wrapText="1"/>
    </xf>
    <xf numFmtId="0" fontId="2" fillId="0" borderId="0" xfId="0" applyFont="1" applyAlignment="1">
      <alignment horizontal="center" vertical="center"/>
    </xf>
    <xf numFmtId="0" fontId="4" fillId="0" borderId="0" xfId="0" applyFont="1" applyAlignment="1">
      <alignment vertical="center"/>
    </xf>
    <xf numFmtId="0" fontId="4" fillId="5" borderId="4" xfId="0" applyFont="1" applyFill="1" applyBorder="1" applyAlignment="1">
      <alignment horizontal="center" vertical="center"/>
    </xf>
    <xf numFmtId="2" fontId="4" fillId="5" borderId="4" xfId="0" applyNumberFormat="1" applyFont="1" applyFill="1" applyBorder="1" applyAlignment="1">
      <alignment horizontal="center" vertical="center"/>
    </xf>
    <xf numFmtId="0" fontId="4" fillId="5" borderId="4" xfId="0" applyFont="1" applyFill="1" applyBorder="1" applyAlignment="1">
      <alignment vertical="center" wrapText="1"/>
    </xf>
    <xf numFmtId="0" fontId="4" fillId="5" borderId="3" xfId="0" quotePrefix="1" applyFont="1" applyFill="1" applyBorder="1" applyAlignment="1">
      <alignment horizontal="left" vertical="center" wrapText="1"/>
    </xf>
    <xf numFmtId="0" fontId="4" fillId="5" borderId="0" xfId="0" applyFont="1" applyFill="1" applyAlignment="1">
      <alignment vertical="center"/>
    </xf>
    <xf numFmtId="0" fontId="4" fillId="10" borderId="4" xfId="0" applyFont="1" applyFill="1" applyBorder="1" applyAlignment="1">
      <alignment horizontal="center" vertical="center"/>
    </xf>
    <xf numFmtId="2" fontId="4" fillId="10" borderId="4" xfId="0" applyNumberFormat="1" applyFont="1" applyFill="1" applyBorder="1" applyAlignment="1">
      <alignment horizontal="center" vertical="center"/>
    </xf>
    <xf numFmtId="2" fontId="4" fillId="10" borderId="9" xfId="0" applyNumberFormat="1" applyFont="1" applyFill="1" applyBorder="1" applyAlignment="1">
      <alignment horizontal="center" vertical="center"/>
    </xf>
    <xf numFmtId="0" fontId="4" fillId="0" borderId="0" xfId="0" applyFont="1" applyAlignment="1">
      <alignment horizontal="center" vertical="center"/>
    </xf>
    <xf numFmtId="0" fontId="1" fillId="12" borderId="4" xfId="0" applyFont="1" applyFill="1" applyBorder="1" applyAlignment="1">
      <alignment horizontal="center" vertical="center" wrapText="1"/>
    </xf>
    <xf numFmtId="0" fontId="1" fillId="12" borderId="4" xfId="0" applyFont="1" applyFill="1" applyBorder="1" applyAlignment="1">
      <alignment horizontal="center" vertical="center"/>
    </xf>
    <xf numFmtId="0" fontId="4" fillId="5" borderId="1" xfId="0" applyFont="1" applyFill="1" applyBorder="1" applyAlignment="1">
      <alignment vertical="center" wrapText="1"/>
    </xf>
    <xf numFmtId="0" fontId="8" fillId="5" borderId="1" xfId="0" applyFont="1" applyFill="1" applyBorder="1" applyAlignment="1">
      <alignment vertical="center" wrapText="1"/>
    </xf>
    <xf numFmtId="0" fontId="5" fillId="5" borderId="1" xfId="0" applyFont="1" applyFill="1" applyBorder="1" applyAlignment="1">
      <alignment horizontal="left" vertical="center" wrapText="1"/>
    </xf>
    <xf numFmtId="0" fontId="5" fillId="5" borderId="4" xfId="0" applyFont="1" applyFill="1" applyBorder="1" applyAlignment="1">
      <alignment horizontal="center" vertical="center"/>
    </xf>
    <xf numFmtId="0" fontId="5" fillId="5" borderId="4"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10" borderId="4" xfId="0" quotePrefix="1" applyFont="1" applyFill="1" applyBorder="1" applyAlignment="1">
      <alignment horizontal="left" vertical="center" wrapText="1"/>
    </xf>
    <xf numFmtId="2" fontId="4" fillId="10" borderId="5" xfId="0" applyNumberFormat="1" applyFont="1" applyFill="1" applyBorder="1" applyAlignment="1">
      <alignment horizontal="left" vertical="center" wrapText="1"/>
    </xf>
    <xf numFmtId="2" fontId="4" fillId="10" borderId="4" xfId="0" applyNumberFormat="1" applyFont="1" applyFill="1" applyBorder="1" applyAlignment="1">
      <alignment horizontal="left" vertical="center" wrapText="1"/>
    </xf>
    <xf numFmtId="2" fontId="4" fillId="10" borderId="6" xfId="0" applyNumberFormat="1" applyFont="1" applyFill="1" applyBorder="1" applyAlignment="1">
      <alignment horizontal="left" vertical="center" wrapText="1"/>
    </xf>
    <xf numFmtId="0" fontId="4" fillId="0" borderId="0" xfId="0" applyFont="1" applyAlignment="1">
      <alignment horizontal="left" vertical="center" wrapText="1"/>
    </xf>
    <xf numFmtId="0" fontId="4" fillId="10" borderId="3" xfId="0" applyFont="1" applyFill="1" applyBorder="1" applyAlignment="1">
      <alignment horizontal="left" vertical="center" wrapText="1"/>
    </xf>
    <xf numFmtId="0" fontId="5" fillId="5" borderId="2" xfId="0" applyFont="1" applyFill="1" applyBorder="1" applyAlignment="1">
      <alignment horizontal="left" vertical="center" wrapText="1"/>
    </xf>
    <xf numFmtId="0" fontId="4" fillId="0" borderId="0" xfId="0" applyFont="1" applyAlignment="1">
      <alignment horizontal="center" vertical="center" wrapText="1"/>
    </xf>
    <xf numFmtId="0" fontId="10" fillId="12" borderId="4" xfId="0" applyFont="1" applyFill="1" applyBorder="1" applyAlignment="1">
      <alignment horizontal="center" vertical="center" wrapText="1"/>
    </xf>
    <xf numFmtId="0" fontId="10" fillId="12" borderId="4"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1" xfId="0" applyFont="1" applyFill="1" applyBorder="1" applyAlignment="1">
      <alignment vertical="center"/>
    </xf>
    <xf numFmtId="0" fontId="6" fillId="3" borderId="2" xfId="0" applyFont="1" applyFill="1" applyBorder="1" applyAlignment="1">
      <alignment vertical="center"/>
    </xf>
    <xf numFmtId="0" fontId="6" fillId="3" borderId="2" xfId="0" applyFont="1" applyFill="1" applyBorder="1" applyAlignment="1">
      <alignment vertical="center" wrapText="1"/>
    </xf>
    <xf numFmtId="2" fontId="6" fillId="3" borderId="4" xfId="0" applyNumberFormat="1" applyFont="1" applyFill="1" applyBorder="1" applyAlignment="1">
      <alignment horizontal="center" vertical="center"/>
    </xf>
    <xf numFmtId="0" fontId="6" fillId="3" borderId="4" xfId="0" applyFont="1" applyFill="1" applyBorder="1" applyAlignment="1">
      <alignment horizontal="left" vertical="center" wrapText="1"/>
    </xf>
    <xf numFmtId="0" fontId="4" fillId="4" borderId="4" xfId="0" applyFont="1" applyFill="1" applyBorder="1" applyAlignment="1">
      <alignment horizontal="center" vertical="center"/>
    </xf>
    <xf numFmtId="0" fontId="4" fillId="4" borderId="1" xfId="0" applyFont="1" applyFill="1" applyBorder="1" applyAlignment="1">
      <alignment vertical="center"/>
    </xf>
    <xf numFmtId="0" fontId="4" fillId="4" borderId="2" xfId="0" applyFont="1" applyFill="1" applyBorder="1" applyAlignment="1">
      <alignment vertical="center" wrapText="1"/>
    </xf>
    <xf numFmtId="2" fontId="4" fillId="4" borderId="4" xfId="0" applyNumberFormat="1" applyFont="1" applyFill="1" applyBorder="1" applyAlignment="1">
      <alignment horizontal="center" vertical="center"/>
    </xf>
    <xf numFmtId="0" fontId="4" fillId="5" borderId="1" xfId="0" quotePrefix="1" applyFont="1" applyFill="1" applyBorder="1" applyAlignment="1">
      <alignment vertical="center" wrapText="1"/>
    </xf>
    <xf numFmtId="0" fontId="4" fillId="7" borderId="0" xfId="0" applyFont="1" applyFill="1" applyAlignment="1">
      <alignment vertical="center"/>
    </xf>
    <xf numFmtId="2" fontId="4" fillId="5" borderId="7" xfId="0" applyNumberFormat="1" applyFont="1" applyFill="1" applyBorder="1" applyAlignment="1">
      <alignment horizontal="center" vertical="center"/>
    </xf>
    <xf numFmtId="0" fontId="5" fillId="5" borderId="1" xfId="0" applyFont="1" applyFill="1" applyBorder="1" applyAlignment="1">
      <alignment vertical="center" wrapText="1"/>
    </xf>
    <xf numFmtId="2" fontId="5" fillId="5" borderId="4" xfId="0" applyNumberFormat="1" applyFont="1" applyFill="1" applyBorder="1" applyAlignment="1">
      <alignment horizontal="center" vertical="center"/>
    </xf>
    <xf numFmtId="0" fontId="6" fillId="8" borderId="4" xfId="0" applyFont="1" applyFill="1" applyBorder="1" applyAlignment="1">
      <alignment horizontal="center" vertical="center"/>
    </xf>
    <xf numFmtId="0" fontId="6" fillId="8" borderId="1" xfId="0" applyFont="1" applyFill="1" applyBorder="1" applyAlignment="1">
      <alignment vertical="center"/>
    </xf>
    <xf numFmtId="0" fontId="6" fillId="8" borderId="2" xfId="0" applyFont="1" applyFill="1" applyBorder="1" applyAlignment="1">
      <alignment vertical="center"/>
    </xf>
    <xf numFmtId="0" fontId="6" fillId="8" borderId="2" xfId="0" applyFont="1" applyFill="1" applyBorder="1" applyAlignment="1">
      <alignment vertical="center" wrapText="1"/>
    </xf>
    <xf numFmtId="2" fontId="6" fillId="8" borderId="4" xfId="0" applyNumberFormat="1" applyFont="1" applyFill="1" applyBorder="1" applyAlignment="1">
      <alignment horizontal="center" vertical="center"/>
    </xf>
    <xf numFmtId="0" fontId="6" fillId="8" borderId="4" xfId="0" applyFont="1" applyFill="1" applyBorder="1" applyAlignment="1">
      <alignment horizontal="left" vertical="center" wrapText="1"/>
    </xf>
    <xf numFmtId="0" fontId="4" fillId="9" borderId="4" xfId="0" applyFont="1" applyFill="1" applyBorder="1" applyAlignment="1">
      <alignment horizontal="center" vertical="center"/>
    </xf>
    <xf numFmtId="0" fontId="4" fillId="9" borderId="1" xfId="0" applyFont="1" applyFill="1" applyBorder="1" applyAlignment="1">
      <alignment vertical="center"/>
    </xf>
    <xf numFmtId="0" fontId="4" fillId="9" borderId="2" xfId="0" applyFont="1" applyFill="1" applyBorder="1" applyAlignment="1">
      <alignment vertical="center" wrapText="1"/>
    </xf>
    <xf numFmtId="2" fontId="4" fillId="9" borderId="4" xfId="0" applyNumberFormat="1" applyFont="1" applyFill="1" applyBorder="1" applyAlignment="1">
      <alignment horizontal="center" vertical="center"/>
    </xf>
    <xf numFmtId="0" fontId="4" fillId="9" borderId="4" xfId="0" applyFont="1" applyFill="1" applyBorder="1" applyAlignment="1">
      <alignment horizontal="left" vertical="center" wrapText="1"/>
    </xf>
    <xf numFmtId="0" fontId="4" fillId="10" borderId="1" xfId="0" applyFont="1" applyFill="1" applyBorder="1" applyAlignment="1">
      <alignment vertical="center" wrapText="1"/>
    </xf>
    <xf numFmtId="2" fontId="6" fillId="2" borderId="4" xfId="0" applyNumberFormat="1" applyFont="1" applyFill="1" applyBorder="1" applyAlignment="1">
      <alignment horizontal="center" vertical="center"/>
    </xf>
    <xf numFmtId="0" fontId="6" fillId="2" borderId="4" xfId="0" applyFont="1" applyFill="1" applyBorder="1" applyAlignment="1">
      <alignment horizontal="left" vertical="center" wrapText="1"/>
    </xf>
    <xf numFmtId="2" fontId="4" fillId="5" borderId="1" xfId="0" applyNumberFormat="1" applyFont="1" applyFill="1" applyBorder="1" applyAlignment="1">
      <alignment horizontal="center" vertical="center"/>
    </xf>
    <xf numFmtId="2" fontId="4" fillId="4" borderId="1" xfId="0" applyNumberFormat="1" applyFont="1" applyFill="1" applyBorder="1" applyAlignment="1">
      <alignment horizontal="center" vertical="center"/>
    </xf>
    <xf numFmtId="2" fontId="6" fillId="8" borderId="1" xfId="0" applyNumberFormat="1" applyFont="1" applyFill="1" applyBorder="1" applyAlignment="1">
      <alignment horizontal="center" vertical="center"/>
    </xf>
    <xf numFmtId="2" fontId="4" fillId="9" borderId="1" xfId="0" applyNumberFormat="1" applyFont="1" applyFill="1" applyBorder="1" applyAlignment="1">
      <alignment horizontal="center" vertical="center"/>
    </xf>
    <xf numFmtId="2" fontId="4" fillId="10" borderId="1" xfId="0" applyNumberFormat="1" applyFont="1" applyFill="1" applyBorder="1" applyAlignment="1">
      <alignment horizontal="center" vertical="center"/>
    </xf>
    <xf numFmtId="2" fontId="6" fillId="2" borderId="1" xfId="0" applyNumberFormat="1" applyFont="1" applyFill="1" applyBorder="1" applyAlignment="1">
      <alignment horizontal="center" vertical="center"/>
    </xf>
    <xf numFmtId="0" fontId="5" fillId="5" borderId="3" xfId="0" applyFont="1" applyFill="1" applyBorder="1" applyAlignment="1">
      <alignment horizontal="left" vertical="center" wrapText="1"/>
    </xf>
    <xf numFmtId="2" fontId="4" fillId="5" borderId="16" xfId="0" applyNumberFormat="1" applyFont="1" applyFill="1" applyBorder="1" applyAlignment="1">
      <alignment horizontal="left" vertical="center" wrapText="1"/>
    </xf>
    <xf numFmtId="0" fontId="4" fillId="5" borderId="18" xfId="0" applyFont="1" applyFill="1" applyBorder="1" applyAlignment="1">
      <alignment horizontal="left" vertical="center" wrapText="1"/>
    </xf>
    <xf numFmtId="2" fontId="4" fillId="5" borderId="14" xfId="0" applyNumberFormat="1" applyFont="1" applyFill="1" applyBorder="1" applyAlignment="1">
      <alignment horizontal="left" vertical="center" wrapText="1"/>
    </xf>
    <xf numFmtId="0" fontId="4" fillId="4" borderId="3" xfId="0" applyFont="1" applyFill="1" applyBorder="1" applyAlignment="1">
      <alignment horizontal="left" vertical="center" wrapText="1"/>
    </xf>
    <xf numFmtId="0" fontId="6" fillId="8" borderId="3"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10" borderId="3" xfId="0" quotePrefix="1" applyFont="1" applyFill="1" applyBorder="1" applyAlignment="1">
      <alignment horizontal="left" vertical="center" wrapText="1"/>
    </xf>
    <xf numFmtId="2" fontId="4" fillId="10" borderId="14" xfId="0" applyNumberFormat="1" applyFont="1" applyFill="1" applyBorder="1" applyAlignment="1">
      <alignment horizontal="left" vertical="center" wrapText="1"/>
    </xf>
    <xf numFmtId="0" fontId="6" fillId="2" borderId="3" xfId="0" applyFont="1" applyFill="1" applyBorder="1" applyAlignment="1">
      <alignment horizontal="left" vertical="center" wrapText="1"/>
    </xf>
    <xf numFmtId="0" fontId="4" fillId="4" borderId="19" xfId="0" applyFont="1" applyFill="1" applyBorder="1" applyAlignment="1">
      <alignment horizontal="left" vertical="center" wrapText="1"/>
    </xf>
    <xf numFmtId="0" fontId="1" fillId="3" borderId="4" xfId="0" applyFont="1" applyFill="1" applyBorder="1" applyAlignment="1">
      <alignment horizontal="center" vertical="center"/>
    </xf>
    <xf numFmtId="2" fontId="1" fillId="3" borderId="4" xfId="0" applyNumberFormat="1" applyFont="1" applyFill="1" applyBorder="1" applyAlignment="1">
      <alignment horizontal="center" vertical="center"/>
    </xf>
    <xf numFmtId="0" fontId="1" fillId="3" borderId="4" xfId="0" applyFont="1" applyFill="1" applyBorder="1" applyAlignment="1">
      <alignment horizontal="left" vertical="center" wrapText="1"/>
    </xf>
    <xf numFmtId="0" fontId="1" fillId="3" borderId="4" xfId="0" applyFont="1" applyFill="1" applyBorder="1" applyAlignment="1">
      <alignment vertical="center" wrapText="1"/>
    </xf>
    <xf numFmtId="0" fontId="11" fillId="0" borderId="0" xfId="0" applyFont="1" applyAlignment="1">
      <alignment vertical="center"/>
    </xf>
    <xf numFmtId="0" fontId="11" fillId="4" borderId="4" xfId="0" applyFont="1" applyFill="1" applyBorder="1" applyAlignment="1">
      <alignment horizontal="center" vertical="center"/>
    </xf>
    <xf numFmtId="2" fontId="11" fillId="4" borderId="4" xfId="0" applyNumberFormat="1" applyFont="1" applyFill="1" applyBorder="1" applyAlignment="1">
      <alignment horizontal="center" vertical="center"/>
    </xf>
    <xf numFmtId="0" fontId="2" fillId="4" borderId="4" xfId="0" applyFont="1" applyFill="1" applyBorder="1" applyAlignment="1">
      <alignment horizontal="left" vertical="center" wrapText="1"/>
    </xf>
    <xf numFmtId="0" fontId="2" fillId="4" borderId="4" xfId="0" applyFont="1" applyFill="1" applyBorder="1" applyAlignment="1">
      <alignment vertical="center"/>
    </xf>
    <xf numFmtId="0" fontId="2" fillId="4" borderId="4" xfId="0" applyFont="1" applyFill="1" applyBorder="1" applyAlignment="1">
      <alignment vertical="center" wrapText="1"/>
    </xf>
    <xf numFmtId="0" fontId="2" fillId="0" borderId="0" xfId="0" applyFont="1" applyAlignment="1">
      <alignment vertical="center"/>
    </xf>
    <xf numFmtId="0" fontId="11" fillId="5" borderId="4" xfId="0" applyFont="1" applyFill="1" applyBorder="1" applyAlignment="1">
      <alignment horizontal="center" vertical="center"/>
    </xf>
    <xf numFmtId="2" fontId="11" fillId="5" borderId="4" xfId="0" applyNumberFormat="1" applyFont="1" applyFill="1" applyBorder="1" applyAlignment="1">
      <alignment horizontal="center" vertical="center"/>
    </xf>
    <xf numFmtId="0" fontId="12" fillId="5" borderId="4" xfId="0" applyFont="1" applyFill="1" applyBorder="1" applyAlignment="1">
      <alignment horizontal="left" vertical="center" wrapText="1"/>
    </xf>
    <xf numFmtId="2" fontId="11" fillId="5" borderId="5" xfId="0" applyNumberFormat="1" applyFont="1" applyFill="1" applyBorder="1" applyAlignment="1">
      <alignment horizontal="center" vertical="center" wrapText="1"/>
    </xf>
    <xf numFmtId="0" fontId="11" fillId="5" borderId="4" xfId="0" applyFont="1" applyFill="1" applyBorder="1" applyAlignment="1">
      <alignment vertical="center" wrapText="1"/>
    </xf>
    <xf numFmtId="0" fontId="11" fillId="5" borderId="0" xfId="0" applyFont="1" applyFill="1" applyAlignment="1">
      <alignment vertical="center"/>
    </xf>
    <xf numFmtId="0" fontId="11" fillId="5" borderId="1" xfId="0" applyFont="1" applyFill="1" applyBorder="1" applyAlignment="1">
      <alignment horizontal="center" vertical="center"/>
    </xf>
    <xf numFmtId="0" fontId="2" fillId="5" borderId="4" xfId="0" applyFont="1" applyFill="1" applyBorder="1" applyAlignment="1">
      <alignment horizontal="center" vertical="center"/>
    </xf>
    <xf numFmtId="0" fontId="2" fillId="13" borderId="5" xfId="0" applyFont="1" applyFill="1" applyBorder="1" applyAlignment="1">
      <alignment horizontal="center" vertical="center"/>
    </xf>
    <xf numFmtId="2" fontId="2" fillId="13" borderId="5" xfId="0" applyNumberFormat="1" applyFont="1" applyFill="1" applyBorder="1" applyAlignment="1">
      <alignment horizontal="center" vertical="center"/>
    </xf>
    <xf numFmtId="2" fontId="2" fillId="5" borderId="8" xfId="0" applyNumberFormat="1" applyFont="1" applyFill="1" applyBorder="1" applyAlignment="1">
      <alignment horizontal="center" vertical="center" wrapText="1"/>
    </xf>
    <xf numFmtId="0" fontId="2" fillId="5" borderId="4" xfId="0" applyFont="1" applyFill="1" applyBorder="1" applyAlignment="1">
      <alignment vertical="center" wrapText="1"/>
    </xf>
    <xf numFmtId="2" fontId="2" fillId="13" borderId="5" xfId="0" applyNumberFormat="1" applyFont="1" applyFill="1" applyBorder="1" applyAlignment="1">
      <alignment horizontal="center" vertical="center" wrapText="1"/>
    </xf>
    <xf numFmtId="2" fontId="2" fillId="13" borderId="16" xfId="0" applyNumberFormat="1" applyFont="1" applyFill="1" applyBorder="1" applyAlignment="1">
      <alignment horizontal="center" vertical="center" wrapText="1"/>
    </xf>
    <xf numFmtId="2" fontId="11" fillId="5" borderId="4" xfId="0" applyNumberFormat="1" applyFont="1" applyFill="1" applyBorder="1" applyAlignment="1">
      <alignment horizontal="center" vertical="center" wrapText="1"/>
    </xf>
    <xf numFmtId="0" fontId="12" fillId="5" borderId="1" xfId="0" applyFont="1" applyFill="1" applyBorder="1" applyAlignment="1">
      <alignment horizontal="left" vertical="center" wrapText="1"/>
    </xf>
    <xf numFmtId="0" fontId="2" fillId="5" borderId="7" xfId="0" applyFont="1" applyFill="1" applyBorder="1" applyAlignment="1">
      <alignment vertical="center" wrapText="1"/>
    </xf>
    <xf numFmtId="0" fontId="11" fillId="7" borderId="0" xfId="0" applyFont="1" applyFill="1" applyAlignment="1">
      <alignment vertical="center"/>
    </xf>
    <xf numFmtId="0" fontId="2" fillId="5" borderId="3" xfId="0" quotePrefix="1" applyFont="1" applyFill="1" applyBorder="1" applyAlignment="1">
      <alignment horizontal="left" vertical="center" wrapText="1"/>
    </xf>
    <xf numFmtId="2" fontId="2" fillId="5" borderId="4" xfId="0" applyNumberFormat="1" applyFont="1" applyFill="1" applyBorder="1" applyAlignment="1">
      <alignment horizontal="center" vertical="center"/>
    </xf>
    <xf numFmtId="0" fontId="14" fillId="5" borderId="1" xfId="0" applyFont="1" applyFill="1" applyBorder="1" applyAlignment="1">
      <alignment horizontal="left" vertical="center" wrapText="1"/>
    </xf>
    <xf numFmtId="2" fontId="2" fillId="5" borderId="4" xfId="0" applyNumberFormat="1" applyFont="1" applyFill="1" applyBorder="1" applyAlignment="1">
      <alignment horizontal="center" vertical="center" wrapText="1"/>
    </xf>
    <xf numFmtId="0" fontId="2" fillId="5" borderId="1" xfId="0" applyFont="1" applyFill="1" applyBorder="1" applyAlignment="1">
      <alignment horizontal="center" vertical="center"/>
    </xf>
    <xf numFmtId="2" fontId="11" fillId="5" borderId="7" xfId="0" applyNumberFormat="1" applyFont="1" applyFill="1" applyBorder="1" applyAlignment="1">
      <alignment horizontal="center" vertical="center"/>
    </xf>
    <xf numFmtId="0" fontId="2" fillId="5" borderId="4" xfId="0" quotePrefix="1" applyFont="1" applyFill="1" applyBorder="1" applyAlignment="1">
      <alignment vertical="center" wrapText="1"/>
    </xf>
    <xf numFmtId="0" fontId="14" fillId="5" borderId="4" xfId="0" applyFont="1" applyFill="1" applyBorder="1" applyAlignment="1">
      <alignment horizontal="left" vertical="center" wrapText="1"/>
    </xf>
    <xf numFmtId="0" fontId="2" fillId="5" borderId="9" xfId="0" applyFont="1" applyFill="1" applyBorder="1" applyAlignment="1">
      <alignment horizontal="center" vertical="center"/>
    </xf>
    <xf numFmtId="0" fontId="11" fillId="5" borderId="7" xfId="0" applyFont="1" applyFill="1" applyBorder="1" applyAlignment="1">
      <alignment horizontal="left" vertical="center" wrapText="1"/>
    </xf>
    <xf numFmtId="0" fontId="11" fillId="5" borderId="7" xfId="0" applyFont="1" applyFill="1" applyBorder="1" applyAlignment="1">
      <alignment vertical="center" wrapText="1"/>
    </xf>
    <xf numFmtId="0" fontId="2" fillId="5" borderId="4" xfId="0" applyFont="1" applyFill="1" applyBorder="1" applyAlignment="1">
      <alignment horizontal="left" vertical="center" wrapText="1"/>
    </xf>
    <xf numFmtId="0" fontId="12" fillId="5" borderId="4" xfId="0" applyFont="1" applyFill="1" applyBorder="1" applyAlignment="1">
      <alignment horizontal="center" vertical="center"/>
    </xf>
    <xf numFmtId="2" fontId="12" fillId="5" borderId="4" xfId="0" applyNumberFormat="1" applyFont="1" applyFill="1" applyBorder="1" applyAlignment="1">
      <alignment horizontal="center" vertical="center"/>
    </xf>
    <xf numFmtId="0" fontId="12" fillId="5" borderId="4" xfId="0" applyFont="1" applyFill="1" applyBorder="1" applyAlignment="1">
      <alignment vertical="center" wrapText="1"/>
    </xf>
    <xf numFmtId="0" fontId="11" fillId="7" borderId="4" xfId="0" applyFont="1" applyFill="1" applyBorder="1" applyAlignment="1">
      <alignment horizontal="center" vertical="center"/>
    </xf>
    <xf numFmtId="2" fontId="11" fillId="7" borderId="4" xfId="0" applyNumberFormat="1" applyFont="1" applyFill="1" applyBorder="1" applyAlignment="1">
      <alignment horizontal="center" vertical="center"/>
    </xf>
    <xf numFmtId="0" fontId="12" fillId="7" borderId="1" xfId="0" applyFont="1" applyFill="1" applyBorder="1" applyAlignment="1">
      <alignment horizontal="left" vertical="center" wrapText="1"/>
    </xf>
    <xf numFmtId="2" fontId="11" fillId="7" borderId="4" xfId="0" applyNumberFormat="1" applyFont="1" applyFill="1" applyBorder="1" applyAlignment="1">
      <alignment horizontal="center" vertical="center" wrapText="1"/>
    </xf>
    <xf numFmtId="0" fontId="12" fillId="7" borderId="4" xfId="0" applyFont="1" applyFill="1" applyBorder="1" applyAlignment="1">
      <alignment vertical="center" wrapText="1"/>
    </xf>
    <xf numFmtId="0" fontId="2" fillId="13" borderId="16" xfId="0" applyFont="1" applyFill="1" applyBorder="1" applyAlignment="1">
      <alignment horizontal="center" vertical="center" wrapText="1"/>
    </xf>
    <xf numFmtId="0" fontId="2" fillId="13" borderId="16" xfId="0" applyFont="1" applyFill="1" applyBorder="1" applyAlignment="1">
      <alignment vertical="center" wrapText="1"/>
    </xf>
    <xf numFmtId="0" fontId="12" fillId="7" borderId="4" xfId="0" applyFont="1" applyFill="1" applyBorder="1" applyAlignment="1">
      <alignment horizontal="left" vertical="center" wrapText="1"/>
    </xf>
    <xf numFmtId="2" fontId="11" fillId="7" borderId="11" xfId="0" applyNumberFormat="1" applyFont="1" applyFill="1" applyBorder="1" applyAlignment="1">
      <alignment horizontal="center" vertical="center" wrapText="1"/>
    </xf>
    <xf numFmtId="0" fontId="11" fillId="7" borderId="4" xfId="0" applyFont="1" applyFill="1" applyBorder="1" applyAlignment="1">
      <alignment vertical="center" wrapText="1"/>
    </xf>
    <xf numFmtId="0" fontId="11" fillId="5" borderId="4"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2" fillId="5" borderId="4" xfId="0" quotePrefix="1" applyFont="1" applyFill="1" applyBorder="1" applyAlignment="1">
      <alignment horizontal="left" vertical="center" wrapText="1"/>
    </xf>
    <xf numFmtId="0" fontId="2" fillId="5" borderId="3" xfId="0" applyFont="1" applyFill="1" applyBorder="1" applyAlignment="1">
      <alignment horizontal="left" vertical="center" wrapText="1"/>
    </xf>
    <xf numFmtId="0" fontId="2" fillId="5" borderId="1" xfId="0" applyFont="1" applyFill="1" applyBorder="1" applyAlignment="1">
      <alignment vertical="center" wrapText="1"/>
    </xf>
    <xf numFmtId="0" fontId="2" fillId="5" borderId="0" xfId="0" applyFont="1" applyFill="1" applyAlignment="1">
      <alignment vertical="center"/>
    </xf>
    <xf numFmtId="2" fontId="2" fillId="5" borderId="5" xfId="0" applyNumberFormat="1" applyFont="1" applyFill="1" applyBorder="1" applyAlignment="1">
      <alignment horizontal="center" vertical="center" wrapText="1"/>
    </xf>
    <xf numFmtId="0" fontId="2" fillId="5" borderId="3" xfId="0" applyFont="1" applyFill="1" applyBorder="1" applyAlignment="1">
      <alignment vertical="center" wrapText="1"/>
    </xf>
    <xf numFmtId="0" fontId="1" fillId="8" borderId="4" xfId="0" applyFont="1" applyFill="1" applyBorder="1" applyAlignment="1">
      <alignment horizontal="center" vertical="center"/>
    </xf>
    <xf numFmtId="2" fontId="1" fillId="8" borderId="4" xfId="0" applyNumberFormat="1" applyFont="1" applyFill="1" applyBorder="1" applyAlignment="1">
      <alignment horizontal="center" vertical="center"/>
    </xf>
    <xf numFmtId="0" fontId="1" fillId="8" borderId="4" xfId="0" applyFont="1" applyFill="1" applyBorder="1" applyAlignment="1">
      <alignment horizontal="left" vertical="center" wrapText="1"/>
    </xf>
    <xf numFmtId="0" fontId="10" fillId="8" borderId="4" xfId="0" applyFont="1" applyFill="1" applyBorder="1" applyAlignment="1">
      <alignment vertical="center" wrapText="1"/>
    </xf>
    <xf numFmtId="0" fontId="11" fillId="9" borderId="4" xfId="0" applyFont="1" applyFill="1" applyBorder="1" applyAlignment="1">
      <alignment horizontal="center" vertical="center"/>
    </xf>
    <xf numFmtId="2" fontId="11" fillId="9" borderId="4" xfId="0" applyNumberFormat="1" applyFont="1" applyFill="1" applyBorder="1" applyAlignment="1">
      <alignment horizontal="center" vertical="center"/>
    </xf>
    <xf numFmtId="0" fontId="11" fillId="9" borderId="4" xfId="0" applyFont="1" applyFill="1" applyBorder="1" applyAlignment="1">
      <alignment horizontal="left" vertical="center" wrapText="1"/>
    </xf>
    <xf numFmtId="0" fontId="2" fillId="9" borderId="4" xfId="0" applyFont="1" applyFill="1" applyBorder="1" applyAlignment="1">
      <alignment vertical="center" wrapText="1"/>
    </xf>
    <xf numFmtId="0" fontId="2" fillId="10" borderId="4" xfId="0" applyFont="1" applyFill="1" applyBorder="1" applyAlignment="1">
      <alignment horizontal="center" vertical="center"/>
    </xf>
    <xf numFmtId="2" fontId="2" fillId="10" borderId="4" xfId="0" applyNumberFormat="1" applyFont="1" applyFill="1" applyBorder="1" applyAlignment="1">
      <alignment horizontal="center" vertical="center"/>
    </xf>
    <xf numFmtId="0" fontId="2" fillId="10" borderId="4" xfId="0" quotePrefix="1" applyFont="1" applyFill="1" applyBorder="1" applyAlignment="1">
      <alignment horizontal="left" vertical="center" wrapText="1"/>
    </xf>
    <xf numFmtId="0" fontId="2" fillId="10" borderId="4" xfId="0" applyFont="1" applyFill="1" applyBorder="1" applyAlignment="1">
      <alignment horizontal="left" vertical="center" wrapText="1"/>
    </xf>
    <xf numFmtId="0" fontId="2" fillId="10" borderId="4" xfId="0" applyFont="1" applyFill="1" applyBorder="1" applyAlignment="1">
      <alignment horizontal="center" vertical="center" wrapText="1"/>
    </xf>
    <xf numFmtId="0" fontId="2" fillId="9" borderId="4" xfId="0" applyFont="1" applyFill="1" applyBorder="1" applyAlignment="1">
      <alignment horizontal="center" vertical="center" wrapText="1"/>
    </xf>
    <xf numFmtId="2" fontId="2" fillId="10" borderId="4" xfId="0" applyNumberFormat="1" applyFont="1" applyFill="1" applyBorder="1" applyAlignment="1">
      <alignment horizontal="left" vertical="center" wrapText="1"/>
    </xf>
    <xf numFmtId="2" fontId="2" fillId="10" borderId="4" xfId="0" applyNumberFormat="1" applyFont="1" applyFill="1" applyBorder="1" applyAlignment="1">
      <alignment horizontal="center" vertical="center" wrapText="1"/>
    </xf>
    <xf numFmtId="2" fontId="2" fillId="10" borderId="9" xfId="0" applyNumberFormat="1" applyFont="1" applyFill="1" applyBorder="1" applyAlignment="1">
      <alignment horizontal="center" vertical="center"/>
    </xf>
    <xf numFmtId="2" fontId="1" fillId="2" borderId="4" xfId="0" applyNumberFormat="1" applyFont="1" applyFill="1" applyBorder="1" applyAlignment="1">
      <alignment horizontal="center" vertical="center"/>
    </xf>
    <xf numFmtId="0" fontId="1" fillId="2" borderId="4" xfId="0" applyFont="1" applyFill="1" applyBorder="1" applyAlignment="1">
      <alignment horizontal="left" vertical="center" wrapText="1"/>
    </xf>
    <xf numFmtId="0" fontId="1" fillId="2" borderId="4" xfId="0" applyFont="1" applyFill="1" applyBorder="1" applyAlignment="1">
      <alignment horizontal="justify" vertical="center"/>
    </xf>
    <xf numFmtId="2" fontId="1" fillId="2" borderId="5" xfId="0" applyNumberFormat="1" applyFont="1" applyFill="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center" wrapText="1"/>
    </xf>
    <xf numFmtId="0" fontId="11" fillId="4" borderId="1" xfId="0" applyFont="1" applyFill="1" applyBorder="1" applyAlignment="1">
      <alignment vertical="center"/>
    </xf>
    <xf numFmtId="0" fontId="11" fillId="4" borderId="2" xfId="0" applyFont="1" applyFill="1" applyBorder="1" applyAlignment="1">
      <alignment vertical="center"/>
    </xf>
    <xf numFmtId="2" fontId="11" fillId="6" borderId="5" xfId="0" applyNumberFormat="1" applyFont="1" applyFill="1" applyBorder="1" applyAlignment="1">
      <alignment horizontal="center" vertical="center"/>
    </xf>
    <xf numFmtId="0" fontId="11" fillId="5" borderId="4" xfId="0" applyFont="1" applyFill="1" applyBorder="1" applyAlignment="1">
      <alignment vertical="center"/>
    </xf>
    <xf numFmtId="2" fontId="2" fillId="5" borderId="8" xfId="0" applyNumberFormat="1" applyFont="1" applyFill="1" applyBorder="1" applyAlignment="1">
      <alignment horizontal="center" vertical="center"/>
    </xf>
    <xf numFmtId="164" fontId="2" fillId="6" borderId="8" xfId="0" applyNumberFormat="1" applyFont="1" applyFill="1" applyBorder="1" applyAlignment="1">
      <alignment horizontal="center" vertical="center"/>
    </xf>
    <xf numFmtId="0" fontId="2" fillId="5" borderId="4" xfId="0" applyFont="1" applyFill="1" applyBorder="1" applyAlignment="1">
      <alignment vertical="center"/>
    </xf>
    <xf numFmtId="2" fontId="2" fillId="13" borderId="16" xfId="0" applyNumberFormat="1" applyFont="1" applyFill="1" applyBorder="1" applyAlignment="1">
      <alignment horizontal="center" vertical="center"/>
    </xf>
    <xf numFmtId="0" fontId="2" fillId="5" borderId="4" xfId="0" quotePrefix="1" applyFont="1" applyFill="1" applyBorder="1" applyAlignment="1">
      <alignment horizontal="center" vertical="center"/>
    </xf>
    <xf numFmtId="164" fontId="11" fillId="6" borderId="8" xfId="0" applyNumberFormat="1" applyFont="1" applyFill="1" applyBorder="1" applyAlignment="1">
      <alignment horizontal="center" vertical="center"/>
    </xf>
    <xf numFmtId="0" fontId="2" fillId="13" borderId="16" xfId="0" applyFont="1" applyFill="1" applyBorder="1" applyAlignment="1">
      <alignment horizontal="center" vertical="center"/>
    </xf>
    <xf numFmtId="4" fontId="2" fillId="13" borderId="5" xfId="0" applyNumberFormat="1" applyFont="1" applyFill="1" applyBorder="1" applyAlignment="1">
      <alignment horizontal="center" vertical="center"/>
    </xf>
    <xf numFmtId="2" fontId="11" fillId="7" borderId="11" xfId="0" applyNumberFormat="1" applyFont="1" applyFill="1" applyBorder="1" applyAlignment="1">
      <alignment horizontal="center" vertical="center"/>
    </xf>
    <xf numFmtId="2" fontId="2" fillId="5" borderId="5" xfId="0" applyNumberFormat="1" applyFont="1" applyFill="1" applyBorder="1" applyAlignment="1">
      <alignment horizontal="center" vertical="center"/>
    </xf>
    <xf numFmtId="2" fontId="2" fillId="6" borderId="5" xfId="0" applyNumberFormat="1" applyFont="1" applyFill="1" applyBorder="1" applyAlignment="1">
      <alignment horizontal="center" vertical="center"/>
    </xf>
    <xf numFmtId="164" fontId="2" fillId="6" borderId="5" xfId="0" applyNumberFormat="1" applyFont="1" applyFill="1" applyBorder="1" applyAlignment="1">
      <alignment horizontal="center" vertical="center"/>
    </xf>
    <xf numFmtId="0" fontId="2" fillId="10" borderId="4" xfId="0" applyFont="1" applyFill="1" applyBorder="1" applyAlignment="1">
      <alignment horizontal="left" vertical="center"/>
    </xf>
    <xf numFmtId="0" fontId="11" fillId="5" borderId="1" xfId="0" quotePrefix="1" applyFont="1" applyFill="1" applyBorder="1" applyAlignment="1">
      <alignment horizontal="center" vertical="center"/>
    </xf>
    <xf numFmtId="2" fontId="2" fillId="5" borderId="8" xfId="0" applyNumberFormat="1" applyFont="1" applyFill="1" applyBorder="1" applyAlignment="1">
      <alignment horizontal="left" vertical="center" wrapText="1"/>
    </xf>
    <xf numFmtId="0" fontId="11" fillId="5" borderId="1" xfId="0" applyFont="1" applyFill="1" applyBorder="1" applyAlignment="1">
      <alignment vertical="center"/>
    </xf>
    <xf numFmtId="2" fontId="11" fillId="6" borderId="0" xfId="0" applyNumberFormat="1" applyFont="1" applyFill="1" applyAlignment="1">
      <alignment horizontal="center" vertical="center"/>
    </xf>
    <xf numFmtId="0" fontId="14" fillId="5" borderId="4" xfId="0" applyFont="1" applyFill="1" applyBorder="1" applyAlignment="1">
      <alignment horizontal="center" vertical="center"/>
    </xf>
    <xf numFmtId="2" fontId="14" fillId="5" borderId="4" xfId="0" applyNumberFormat="1" applyFont="1" applyFill="1" applyBorder="1" applyAlignment="1">
      <alignment horizontal="center" vertical="center"/>
    </xf>
    <xf numFmtId="0" fontId="14" fillId="5" borderId="4" xfId="0" applyFont="1" applyFill="1" applyBorder="1" applyAlignment="1">
      <alignment vertical="center"/>
    </xf>
    <xf numFmtId="164" fontId="11" fillId="6" borderId="0" xfId="0" applyNumberFormat="1" applyFont="1" applyFill="1" applyAlignment="1">
      <alignment horizontal="center" vertical="center"/>
    </xf>
    <xf numFmtId="0" fontId="11" fillId="4" borderId="2" xfId="0" applyFont="1" applyFill="1" applyBorder="1" applyAlignment="1">
      <alignment horizontal="center" vertical="center"/>
    </xf>
    <xf numFmtId="0" fontId="11" fillId="5" borderId="20" xfId="0" quotePrefix="1" applyFont="1" applyFill="1" applyBorder="1" applyAlignment="1">
      <alignment horizontal="center" vertical="center"/>
    </xf>
    <xf numFmtId="0" fontId="15" fillId="5" borderId="4" xfId="0" applyFont="1" applyFill="1" applyBorder="1" applyAlignment="1">
      <alignment horizontal="center" vertical="center"/>
    </xf>
    <xf numFmtId="0" fontId="16" fillId="5" borderId="4" xfId="0" applyFont="1" applyFill="1" applyBorder="1" applyAlignment="1">
      <alignment horizontal="center" vertical="center"/>
    </xf>
    <xf numFmtId="0" fontId="16" fillId="5" borderId="3" xfId="0" applyFont="1" applyFill="1" applyBorder="1" applyAlignment="1">
      <alignment horizontal="left" vertical="center" wrapText="1"/>
    </xf>
    <xf numFmtId="0" fontId="2" fillId="14" borderId="5" xfId="0" applyFont="1" applyFill="1" applyBorder="1" applyAlignment="1">
      <alignment horizontal="center" vertical="center"/>
    </xf>
    <xf numFmtId="0" fontId="11" fillId="14" borderId="14" xfId="0" applyFont="1" applyFill="1" applyBorder="1" applyAlignment="1">
      <alignment vertical="center"/>
    </xf>
    <xf numFmtId="0" fontId="11" fillId="14" borderId="15" xfId="0" applyFont="1" applyFill="1" applyBorder="1" applyAlignment="1">
      <alignment horizontal="center" vertical="center"/>
    </xf>
    <xf numFmtId="2" fontId="2" fillId="14" borderId="14" xfId="0" applyNumberFormat="1" applyFont="1" applyFill="1" applyBorder="1" applyAlignment="1">
      <alignment horizontal="center" vertical="center"/>
    </xf>
    <xf numFmtId="2" fontId="11" fillId="14" borderId="14" xfId="0" applyNumberFormat="1" applyFont="1" applyFill="1" applyBorder="1" applyAlignment="1">
      <alignment horizontal="center" vertical="center"/>
    </xf>
    <xf numFmtId="0" fontId="11" fillId="14" borderId="14" xfId="0" applyFont="1" applyFill="1" applyBorder="1" applyAlignment="1">
      <alignment horizontal="center" vertical="center"/>
    </xf>
    <xf numFmtId="0" fontId="2" fillId="13" borderId="17" xfId="0" applyFont="1" applyFill="1" applyBorder="1" applyAlignment="1">
      <alignment horizontal="center" vertical="center"/>
    </xf>
    <xf numFmtId="0" fontId="2" fillId="13" borderId="8" xfId="0" applyFont="1" applyFill="1" applyBorder="1" applyAlignment="1">
      <alignment horizontal="center" vertical="center"/>
    </xf>
    <xf numFmtId="0" fontId="2" fillId="13" borderId="4" xfId="0" applyFont="1" applyFill="1" applyBorder="1" applyAlignment="1">
      <alignment horizontal="center" vertical="center"/>
    </xf>
    <xf numFmtId="0" fontId="11" fillId="7" borderId="1" xfId="0" applyFont="1" applyFill="1" applyBorder="1" applyAlignment="1">
      <alignment horizontal="center" vertical="center"/>
    </xf>
    <xf numFmtId="0" fontId="11" fillId="13" borderId="17" xfId="0" applyFont="1" applyFill="1" applyBorder="1" applyAlignment="1">
      <alignment horizontal="center" vertical="center"/>
    </xf>
    <xf numFmtId="0" fontId="11" fillId="13" borderId="4" xfId="0" applyFont="1" applyFill="1" applyBorder="1" applyAlignment="1">
      <alignment horizontal="center" vertical="center"/>
    </xf>
    <xf numFmtId="2" fontId="11" fillId="13" borderId="16" xfId="0" applyNumberFormat="1" applyFont="1" applyFill="1" applyBorder="1" applyAlignment="1">
      <alignment horizontal="center" vertical="center" wrapText="1"/>
    </xf>
    <xf numFmtId="2" fontId="11" fillId="13" borderId="5" xfId="0" applyNumberFormat="1" applyFont="1" applyFill="1" applyBorder="1" applyAlignment="1">
      <alignment horizontal="center" vertical="center"/>
    </xf>
    <xf numFmtId="2" fontId="11" fillId="13" borderId="16" xfId="0" applyNumberFormat="1" applyFont="1" applyFill="1" applyBorder="1" applyAlignment="1">
      <alignment horizontal="center" vertical="center"/>
    </xf>
    <xf numFmtId="9" fontId="11" fillId="13" borderId="16" xfId="0" applyNumberFormat="1" applyFont="1" applyFill="1" applyBorder="1" applyAlignment="1">
      <alignment horizontal="center" vertical="center"/>
    </xf>
    <xf numFmtId="2" fontId="11" fillId="15" borderId="5" xfId="0" applyNumberFormat="1" applyFont="1" applyFill="1" applyBorder="1" applyAlignment="1">
      <alignment horizontal="center" vertical="center"/>
    </xf>
    <xf numFmtId="164" fontId="11" fillId="15" borderId="8" xfId="0" applyNumberFormat="1" applyFont="1" applyFill="1" applyBorder="1" applyAlignment="1">
      <alignment horizontal="center" vertical="center"/>
    </xf>
    <xf numFmtId="2" fontId="11" fillId="7" borderId="7" xfId="0" applyNumberFormat="1" applyFont="1" applyFill="1" applyBorder="1" applyAlignment="1">
      <alignment horizontal="center" vertical="center"/>
    </xf>
    <xf numFmtId="0" fontId="2" fillId="7" borderId="0" xfId="0" applyFont="1" applyFill="1" applyAlignment="1">
      <alignment vertical="center"/>
    </xf>
    <xf numFmtId="0" fontId="11" fillId="7" borderId="9" xfId="0" applyFont="1" applyFill="1" applyBorder="1" applyAlignment="1">
      <alignment horizontal="center" vertical="center"/>
    </xf>
    <xf numFmtId="0" fontId="12" fillId="7" borderId="4" xfId="0" applyFont="1" applyFill="1" applyBorder="1" applyAlignment="1">
      <alignment horizontal="center" vertical="center"/>
    </xf>
    <xf numFmtId="2" fontId="12" fillId="7" borderId="4" xfId="0" applyNumberFormat="1" applyFont="1" applyFill="1" applyBorder="1" applyAlignment="1">
      <alignment horizontal="center" vertical="center"/>
    </xf>
    <xf numFmtId="164" fontId="11" fillId="15" borderId="5" xfId="0" applyNumberFormat="1" applyFont="1" applyFill="1" applyBorder="1" applyAlignment="1">
      <alignment horizontal="center" vertical="center"/>
    </xf>
    <xf numFmtId="2" fontId="2" fillId="6" borderId="4" xfId="0" applyNumberFormat="1" applyFont="1" applyFill="1" applyBorder="1" applyAlignment="1">
      <alignment horizontal="center" vertical="center"/>
    </xf>
    <xf numFmtId="0" fontId="11" fillId="10" borderId="4" xfId="0" applyFont="1" applyFill="1" applyBorder="1" applyAlignment="1">
      <alignment horizontal="center" vertical="center"/>
    </xf>
    <xf numFmtId="0" fontId="11" fillId="10" borderId="4" xfId="0" applyFont="1" applyFill="1" applyBorder="1" applyAlignment="1">
      <alignment horizontal="left" vertical="center"/>
    </xf>
    <xf numFmtId="2" fontId="11" fillId="10" borderId="4" xfId="0" applyNumberFormat="1" applyFont="1" applyFill="1" applyBorder="1" applyAlignment="1">
      <alignment horizontal="center" vertical="center" wrapText="1"/>
    </xf>
    <xf numFmtId="2" fontId="11" fillId="10" borderId="4" xfId="0" applyNumberFormat="1" applyFont="1" applyFill="1" applyBorder="1" applyAlignment="1">
      <alignment horizontal="center" vertical="center"/>
    </xf>
    <xf numFmtId="0" fontId="14" fillId="10" borderId="4" xfId="0" applyFont="1" applyFill="1" applyBorder="1" applyAlignment="1">
      <alignment vertical="center"/>
    </xf>
    <xf numFmtId="0" fontId="2" fillId="10" borderId="4" xfId="0" quotePrefix="1" applyFont="1" applyFill="1" applyBorder="1" applyAlignment="1">
      <alignment horizontal="center" vertical="center"/>
    </xf>
    <xf numFmtId="2" fontId="2" fillId="11" borderId="4" xfId="0" applyNumberFormat="1" applyFont="1" applyFill="1" applyBorder="1" applyAlignment="1">
      <alignment horizontal="center" vertical="center"/>
    </xf>
    <xf numFmtId="2" fontId="11" fillId="11" borderId="4" xfId="0" applyNumberFormat="1" applyFont="1" applyFill="1" applyBorder="1" applyAlignment="1">
      <alignment horizontal="center" vertical="center"/>
    </xf>
    <xf numFmtId="0" fontId="2" fillId="10" borderId="4" xfId="0" applyFont="1" applyFill="1" applyBorder="1" applyAlignment="1">
      <alignment vertical="center"/>
    </xf>
    <xf numFmtId="0" fontId="2" fillId="10" borderId="11" xfId="0" applyFont="1" applyFill="1" applyBorder="1" applyAlignment="1">
      <alignment horizontal="center" vertical="center"/>
    </xf>
    <xf numFmtId="0" fontId="2" fillId="10" borderId="11" xfId="0" applyFont="1" applyFill="1" applyBorder="1" applyAlignment="1">
      <alignment horizontal="left" vertical="center" wrapText="1"/>
    </xf>
    <xf numFmtId="2" fontId="2" fillId="10" borderId="22" xfId="0" applyNumberFormat="1" applyFont="1" applyFill="1" applyBorder="1" applyAlignment="1">
      <alignment horizontal="left" vertical="center" wrapText="1"/>
    </xf>
    <xf numFmtId="2" fontId="2" fillId="10" borderId="6" xfId="0" applyNumberFormat="1" applyFont="1" applyFill="1" applyBorder="1" applyAlignment="1">
      <alignment horizontal="center" vertical="center"/>
    </xf>
    <xf numFmtId="2" fontId="2" fillId="11" borderId="6" xfId="0" applyNumberFormat="1" applyFont="1" applyFill="1" applyBorder="1" applyAlignment="1">
      <alignment horizontal="center" vertical="center"/>
    </xf>
    <xf numFmtId="0" fontId="11" fillId="16" borderId="4" xfId="0" applyFont="1" applyFill="1" applyBorder="1" applyAlignment="1">
      <alignment horizontal="center" vertical="center"/>
    </xf>
    <xf numFmtId="2" fontId="11" fillId="16" borderId="6" xfId="0" applyNumberFormat="1" applyFont="1" applyFill="1" applyBorder="1" applyAlignment="1">
      <alignment horizontal="center" vertical="center"/>
    </xf>
    <xf numFmtId="2" fontId="11" fillId="17" borderId="6" xfId="0" applyNumberFormat="1" applyFont="1" applyFill="1" applyBorder="1" applyAlignment="1">
      <alignment horizontal="center" vertical="center"/>
    </xf>
    <xf numFmtId="0" fontId="11" fillId="16" borderId="0" xfId="0" applyFont="1" applyFill="1" applyAlignment="1">
      <alignment vertical="center"/>
    </xf>
    <xf numFmtId="2" fontId="11" fillId="10" borderId="4" xfId="0" applyNumberFormat="1" applyFont="1" applyFill="1" applyBorder="1" applyAlignment="1">
      <alignment horizontal="left" vertical="center" wrapText="1"/>
    </xf>
    <xf numFmtId="2" fontId="11" fillId="16" borderId="4" xfId="0" applyNumberFormat="1" applyFont="1" applyFill="1" applyBorder="1" applyAlignment="1">
      <alignment horizontal="center" vertical="center" wrapText="1"/>
    </xf>
    <xf numFmtId="2" fontId="11" fillId="16" borderId="4" xfId="0" applyNumberFormat="1" applyFont="1" applyFill="1" applyBorder="1" applyAlignment="1">
      <alignment horizontal="left" vertical="center" wrapText="1"/>
    </xf>
    <xf numFmtId="2" fontId="11" fillId="16" borderId="4" xfId="0" applyNumberFormat="1" applyFont="1" applyFill="1" applyBorder="1" applyAlignment="1">
      <alignment horizontal="center" vertical="center"/>
    </xf>
    <xf numFmtId="2" fontId="11" fillId="15" borderId="4" xfId="0" applyNumberFormat="1" applyFont="1" applyFill="1" applyBorder="1" applyAlignment="1">
      <alignment horizontal="center" vertical="center"/>
    </xf>
    <xf numFmtId="0" fontId="2" fillId="16" borderId="0" xfId="0" applyFont="1" applyFill="1" applyAlignment="1">
      <alignment vertical="center"/>
    </xf>
    <xf numFmtId="0" fontId="11" fillId="16" borderId="1" xfId="0" applyFont="1" applyFill="1" applyBorder="1" applyAlignment="1">
      <alignment horizontal="center" vertical="center"/>
    </xf>
    <xf numFmtId="2" fontId="11" fillId="17" borderId="4" xfId="0" applyNumberFormat="1" applyFont="1" applyFill="1" applyBorder="1" applyAlignment="1">
      <alignment horizontal="center" vertical="center"/>
    </xf>
    <xf numFmtId="2" fontId="6" fillId="8" borderId="3" xfId="0" applyNumberFormat="1" applyFont="1" applyFill="1" applyBorder="1" applyAlignment="1">
      <alignment horizontal="center" vertical="center"/>
    </xf>
    <xf numFmtId="2" fontId="4" fillId="9" borderId="3" xfId="0" applyNumberFormat="1" applyFont="1" applyFill="1" applyBorder="1" applyAlignment="1">
      <alignment horizontal="center" vertical="center"/>
    </xf>
    <xf numFmtId="2" fontId="4" fillId="10" borderId="3" xfId="0" applyNumberFormat="1" applyFont="1" applyFill="1" applyBorder="1" applyAlignment="1">
      <alignment horizontal="center" vertical="center"/>
    </xf>
    <xf numFmtId="2" fontId="6" fillId="2" borderId="3" xfId="0" applyNumberFormat="1" applyFont="1" applyFill="1" applyBorder="1" applyAlignment="1">
      <alignment horizontal="center" vertical="center"/>
    </xf>
    <xf numFmtId="0" fontId="1" fillId="3" borderId="4"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4" borderId="2" xfId="0" applyFont="1" applyFill="1" applyBorder="1" applyAlignment="1">
      <alignment vertical="center" wrapText="1"/>
    </xf>
    <xf numFmtId="0" fontId="11" fillId="7" borderId="4" xfId="0" applyFont="1" applyFill="1" applyBorder="1" applyAlignment="1">
      <alignment horizontal="center" vertical="center" wrapText="1"/>
    </xf>
    <xf numFmtId="2" fontId="11" fillId="7" borderId="5" xfId="0" applyNumberFormat="1" applyFont="1" applyFill="1" applyBorder="1" applyAlignment="1">
      <alignment horizontal="center" vertical="center" wrapText="1"/>
    </xf>
    <xf numFmtId="0" fontId="2" fillId="14" borderId="14" xfId="0" applyFont="1" applyFill="1" applyBorder="1" applyAlignment="1">
      <alignment vertical="center" wrapText="1"/>
    </xf>
    <xf numFmtId="0" fontId="2" fillId="7" borderId="7" xfId="0" applyFont="1" applyFill="1" applyBorder="1" applyAlignment="1">
      <alignment vertical="center" wrapText="1"/>
    </xf>
    <xf numFmtId="2" fontId="11" fillId="7" borderId="22" xfId="0" applyNumberFormat="1" applyFont="1" applyFill="1" applyBorder="1" applyAlignment="1">
      <alignment horizontal="left" vertical="center" wrapText="1"/>
    </xf>
    <xf numFmtId="2" fontId="11" fillId="7" borderId="8" xfId="0" applyNumberFormat="1" applyFont="1" applyFill="1" applyBorder="1" applyAlignment="1">
      <alignment horizontal="center" vertical="center" wrapText="1"/>
    </xf>
    <xf numFmtId="2" fontId="11" fillId="5" borderId="4" xfId="0" applyNumberFormat="1" applyFont="1" applyFill="1" applyBorder="1" applyAlignment="1">
      <alignment horizontal="left" vertical="center" wrapText="1"/>
    </xf>
    <xf numFmtId="2" fontId="11" fillId="5" borderId="16" xfId="0" applyNumberFormat="1" applyFont="1" applyFill="1" applyBorder="1" applyAlignment="1">
      <alignment horizontal="center" vertical="center" wrapText="1"/>
    </xf>
    <xf numFmtId="2" fontId="2" fillId="7" borderId="4" xfId="0" applyNumberFormat="1" applyFont="1" applyFill="1" applyBorder="1" applyAlignment="1">
      <alignment horizontal="center" vertical="center" wrapText="1"/>
    </xf>
    <xf numFmtId="0" fontId="11" fillId="7" borderId="7" xfId="0" applyFont="1" applyFill="1" applyBorder="1" applyAlignment="1">
      <alignment horizontal="left" vertical="center" wrapText="1"/>
    </xf>
    <xf numFmtId="0" fontId="11" fillId="7" borderId="7" xfId="0" applyFont="1" applyFill="1" applyBorder="1" applyAlignment="1">
      <alignment vertical="center" wrapText="1"/>
    </xf>
    <xf numFmtId="0" fontId="14" fillId="5" borderId="4" xfId="0" applyFont="1" applyFill="1" applyBorder="1" applyAlignment="1">
      <alignment vertical="center" wrapText="1"/>
    </xf>
    <xf numFmtId="2" fontId="11" fillId="7" borderId="6" xfId="0" applyNumberFormat="1" applyFont="1" applyFill="1" applyBorder="1" applyAlignment="1">
      <alignment horizontal="center" vertical="center" wrapText="1"/>
    </xf>
    <xf numFmtId="0" fontId="11" fillId="13" borderId="16" xfId="0" applyFont="1" applyFill="1" applyBorder="1" applyAlignment="1">
      <alignment vertical="center" wrapText="1"/>
    </xf>
    <xf numFmtId="2" fontId="11" fillId="13" borderId="5" xfId="0" applyNumberFormat="1" applyFont="1" applyFill="1" applyBorder="1" applyAlignment="1">
      <alignment horizontal="center" vertical="center" wrapText="1"/>
    </xf>
    <xf numFmtId="0" fontId="2" fillId="13" borderId="4" xfId="0" applyFont="1" applyFill="1" applyBorder="1" applyAlignment="1">
      <alignment vertical="center" wrapText="1"/>
    </xf>
    <xf numFmtId="0" fontId="2" fillId="7" borderId="4" xfId="0" applyFont="1" applyFill="1" applyBorder="1" applyAlignment="1">
      <alignment horizontal="left" vertical="center" wrapText="1"/>
    </xf>
    <xf numFmtId="0" fontId="2" fillId="7" borderId="4" xfId="0" applyFont="1" applyFill="1" applyBorder="1" applyAlignment="1">
      <alignment vertical="center" wrapText="1"/>
    </xf>
    <xf numFmtId="2" fontId="11" fillId="7" borderId="4" xfId="0" applyNumberFormat="1" applyFont="1" applyFill="1" applyBorder="1" applyAlignment="1">
      <alignment horizontal="left" vertical="center" wrapText="1"/>
    </xf>
    <xf numFmtId="2" fontId="2" fillId="5" borderId="4" xfId="0" applyNumberFormat="1" applyFont="1" applyFill="1" applyBorder="1" applyAlignment="1">
      <alignment horizontal="left" vertical="center" wrapText="1"/>
    </xf>
    <xf numFmtId="0" fontId="1" fillId="8" borderId="4" xfId="0" applyFont="1" applyFill="1" applyBorder="1" applyAlignment="1">
      <alignment horizontal="center" vertical="center" wrapText="1"/>
    </xf>
    <xf numFmtId="0" fontId="11" fillId="9" borderId="4" xfId="0" applyFont="1" applyFill="1" applyBorder="1" applyAlignment="1">
      <alignment horizontal="center" vertical="center" wrapText="1"/>
    </xf>
    <xf numFmtId="0" fontId="11" fillId="16" borderId="4" xfId="0" applyFont="1" applyFill="1" applyBorder="1" applyAlignment="1">
      <alignment horizontal="center" vertical="center" wrapText="1"/>
    </xf>
    <xf numFmtId="0" fontId="2" fillId="16" borderId="4" xfId="0" applyFont="1" applyFill="1" applyBorder="1" applyAlignment="1">
      <alignment horizontal="left" vertical="center" wrapText="1"/>
    </xf>
    <xf numFmtId="0" fontId="2" fillId="16" borderId="4" xfId="0" applyFont="1" applyFill="1" applyBorder="1" applyAlignment="1">
      <alignment horizontal="center" vertical="center" wrapText="1"/>
    </xf>
    <xf numFmtId="0" fontId="11" fillId="10" borderId="4" xfId="0" applyFont="1" applyFill="1" applyBorder="1" applyAlignment="1">
      <alignment horizontal="center" vertical="center" wrapText="1"/>
    </xf>
    <xf numFmtId="0" fontId="2" fillId="10" borderId="4" xfId="0" applyFont="1" applyFill="1" applyBorder="1" applyAlignment="1">
      <alignment vertical="center" wrapText="1"/>
    </xf>
    <xf numFmtId="0" fontId="11" fillId="16" borderId="7" xfId="0" applyFont="1" applyFill="1" applyBorder="1" applyAlignment="1">
      <alignment horizontal="left" vertical="center" wrapText="1"/>
    </xf>
    <xf numFmtId="2" fontId="11" fillId="16" borderId="6" xfId="0" applyNumberFormat="1" applyFont="1" applyFill="1" applyBorder="1" applyAlignment="1">
      <alignment horizontal="center" vertical="center" wrapText="1"/>
    </xf>
    <xf numFmtId="0" fontId="11" fillId="10" borderId="4" xfId="0" applyFont="1" applyFill="1" applyBorder="1" applyAlignment="1">
      <alignment horizontal="left" vertical="center" wrapText="1"/>
    </xf>
    <xf numFmtId="2" fontId="2" fillId="10" borderId="6" xfId="0" applyNumberFormat="1" applyFont="1" applyFill="1" applyBorder="1" applyAlignment="1">
      <alignment horizontal="center" vertical="center" wrapText="1"/>
    </xf>
    <xf numFmtId="2" fontId="11" fillId="10" borderId="0" xfId="0" applyNumberFormat="1" applyFont="1" applyFill="1" applyAlignment="1">
      <alignment horizontal="left" vertical="center" wrapText="1"/>
    </xf>
    <xf numFmtId="0" fontId="11" fillId="10" borderId="0" xfId="0" applyFont="1" applyFill="1" applyAlignment="1">
      <alignment horizontal="center" vertical="center" wrapText="1"/>
    </xf>
    <xf numFmtId="0" fontId="1" fillId="2" borderId="4" xfId="0" applyFont="1" applyFill="1" applyBorder="1" applyAlignment="1">
      <alignment horizontal="justify" vertical="center" wrapText="1"/>
    </xf>
    <xf numFmtId="2" fontId="11" fillId="13" borderId="23" xfId="0" applyNumberFormat="1" applyFont="1" applyFill="1" applyBorder="1" applyAlignment="1">
      <alignment horizontal="center" vertical="center"/>
    </xf>
    <xf numFmtId="2" fontId="2" fillId="13" borderId="4" xfId="0" applyNumberFormat="1" applyFont="1" applyFill="1" applyBorder="1" applyAlignment="1">
      <alignment horizontal="center" vertical="center"/>
    </xf>
    <xf numFmtId="2" fontId="11" fillId="16" borderId="7" xfId="0" applyNumberFormat="1" applyFont="1" applyFill="1" applyBorder="1" applyAlignment="1">
      <alignment horizontal="center" vertical="center"/>
    </xf>
    <xf numFmtId="2" fontId="2" fillId="10" borderId="24" xfId="0" applyNumberFormat="1" applyFont="1" applyFill="1" applyBorder="1" applyAlignment="1">
      <alignment horizontal="center" vertical="center"/>
    </xf>
    <xf numFmtId="2" fontId="2" fillId="5" borderId="7" xfId="0" applyNumberFormat="1" applyFont="1" applyFill="1" applyBorder="1" applyAlignment="1">
      <alignment horizontal="center" vertical="center"/>
    </xf>
    <xf numFmtId="2" fontId="2" fillId="7" borderId="7" xfId="0" applyNumberFormat="1" applyFont="1" applyFill="1" applyBorder="1" applyAlignment="1">
      <alignment horizontal="center" vertical="center" wrapText="1"/>
    </xf>
    <xf numFmtId="2" fontId="11" fillId="15" borderId="6" xfId="0" applyNumberFormat="1" applyFont="1" applyFill="1" applyBorder="1" applyAlignment="1">
      <alignment horizontal="center" vertical="center"/>
    </xf>
    <xf numFmtId="0" fontId="2" fillId="13" borderId="5" xfId="0" applyFont="1" applyFill="1" applyBorder="1" applyAlignment="1">
      <alignment vertical="center" wrapText="1"/>
    </xf>
    <xf numFmtId="0" fontId="2" fillId="13" borderId="5" xfId="0" applyFont="1" applyFill="1" applyBorder="1" applyAlignment="1">
      <alignment horizontal="left" vertical="center" wrapText="1"/>
    </xf>
    <xf numFmtId="2" fontId="2" fillId="13" borderId="8" xfId="0" applyNumberFormat="1" applyFont="1" applyFill="1" applyBorder="1" applyAlignment="1">
      <alignment horizontal="center" vertical="center" wrapText="1"/>
    </xf>
    <xf numFmtId="164" fontId="2" fillId="13" borderId="8" xfId="0" applyNumberFormat="1" applyFont="1" applyFill="1" applyBorder="1" applyAlignment="1">
      <alignment horizontal="center" vertical="center"/>
    </xf>
    <xf numFmtId="2" fontId="2" fillId="13" borderId="8" xfId="0" applyNumberFormat="1" applyFont="1" applyFill="1" applyBorder="1" applyAlignment="1">
      <alignment horizontal="center" vertical="center"/>
    </xf>
    <xf numFmtId="0" fontId="2" fillId="13" borderId="5" xfId="0" quotePrefix="1" applyFont="1" applyFill="1" applyBorder="1" applyAlignment="1">
      <alignment vertical="center" wrapText="1"/>
    </xf>
    <xf numFmtId="0" fontId="2" fillId="5" borderId="5" xfId="0" applyFont="1" applyFill="1" applyBorder="1" applyAlignment="1">
      <alignment horizontal="center" vertical="center"/>
    </xf>
    <xf numFmtId="0" fontId="2" fillId="5" borderId="5" xfId="0" applyFont="1" applyFill="1" applyBorder="1" applyAlignment="1">
      <alignment vertical="center" wrapText="1"/>
    </xf>
    <xf numFmtId="0" fontId="2" fillId="5" borderId="5" xfId="0" applyFont="1" applyFill="1" applyBorder="1" applyAlignment="1">
      <alignment horizontal="left" vertical="center" wrapText="1"/>
    </xf>
    <xf numFmtId="0" fontId="2" fillId="18" borderId="5" xfId="0" applyFont="1" applyFill="1" applyBorder="1" applyAlignment="1">
      <alignment vertical="center" wrapText="1"/>
    </xf>
    <xf numFmtId="2" fontId="2" fillId="18" borderId="5" xfId="0" applyNumberFormat="1" applyFont="1" applyFill="1" applyBorder="1" applyAlignment="1">
      <alignment horizontal="center" vertical="center"/>
    </xf>
    <xf numFmtId="0" fontId="2" fillId="18" borderId="5" xfId="0" applyFont="1" applyFill="1" applyBorder="1" applyAlignment="1">
      <alignment horizontal="left" vertical="center" wrapText="1"/>
    </xf>
    <xf numFmtId="2" fontId="2" fillId="18" borderId="5" xfId="0" applyNumberFormat="1" applyFont="1" applyFill="1" applyBorder="1" applyAlignment="1">
      <alignment horizontal="center" vertical="center" wrapText="1"/>
    </xf>
    <xf numFmtId="2" fontId="11" fillId="13" borderId="14" xfId="0" applyNumberFormat="1" applyFont="1" applyFill="1" applyBorder="1" applyAlignment="1">
      <alignment horizontal="center" vertical="center"/>
    </xf>
    <xf numFmtId="0" fontId="2" fillId="13" borderId="14" xfId="0" applyFont="1" applyFill="1" applyBorder="1" applyAlignment="1">
      <alignment vertical="center" wrapText="1"/>
    </xf>
    <xf numFmtId="0" fontId="2" fillId="13" borderId="14" xfId="0" applyFont="1" applyFill="1" applyBorder="1" applyAlignment="1">
      <alignment horizontal="center" vertical="center" wrapText="1"/>
    </xf>
    <xf numFmtId="0" fontId="2" fillId="13" borderId="14" xfId="0" applyFont="1" applyFill="1" applyBorder="1" applyAlignment="1">
      <alignment horizontal="center" vertical="center"/>
    </xf>
    <xf numFmtId="2" fontId="2" fillId="13" borderId="14" xfId="0" applyNumberFormat="1" applyFont="1" applyFill="1" applyBorder="1" applyAlignment="1">
      <alignment horizontal="center" vertical="center"/>
    </xf>
    <xf numFmtId="0" fontId="2" fillId="13" borderId="8" xfId="0" applyFont="1" applyFill="1" applyBorder="1" applyAlignment="1">
      <alignment vertical="center" wrapText="1"/>
    </xf>
    <xf numFmtId="2" fontId="11" fillId="5" borderId="1" xfId="0" applyNumberFormat="1" applyFont="1" applyFill="1" applyBorder="1" applyAlignment="1">
      <alignment horizontal="center" vertical="center"/>
    </xf>
    <xf numFmtId="2" fontId="2" fillId="14" borderId="15" xfId="0" applyNumberFormat="1" applyFont="1" applyFill="1" applyBorder="1" applyAlignment="1">
      <alignment horizontal="center" vertical="center"/>
    </xf>
    <xf numFmtId="0" fontId="11" fillId="5" borderId="3" xfId="0" applyFont="1" applyFill="1" applyBorder="1" applyAlignment="1">
      <alignment vertical="center" wrapText="1"/>
    </xf>
    <xf numFmtId="0" fontId="2" fillId="5" borderId="11" xfId="0" applyFont="1" applyFill="1" applyBorder="1" applyAlignment="1">
      <alignment vertical="center" wrapText="1"/>
    </xf>
    <xf numFmtId="0" fontId="10" fillId="3" borderId="4" xfId="0" applyFont="1" applyFill="1" applyBorder="1" applyAlignment="1">
      <alignment vertical="center" wrapText="1"/>
    </xf>
    <xf numFmtId="0" fontId="14" fillId="7" borderId="4" xfId="0" applyFont="1" applyFill="1" applyBorder="1" applyAlignment="1">
      <alignment vertical="center" wrapText="1"/>
    </xf>
    <xf numFmtId="0" fontId="2" fillId="7" borderId="11" xfId="0" applyFont="1" applyFill="1" applyBorder="1" applyAlignment="1">
      <alignment vertical="center" wrapText="1"/>
    </xf>
    <xf numFmtId="0" fontId="2" fillId="10" borderId="0" xfId="0" applyFont="1" applyFill="1" applyAlignment="1">
      <alignment horizontal="left" vertical="center" wrapText="1"/>
    </xf>
    <xf numFmtId="2" fontId="10" fillId="2" borderId="10" xfId="0" applyNumberFormat="1" applyFont="1" applyFill="1" applyBorder="1" applyAlignment="1">
      <alignment horizontal="left" vertical="center" wrapText="1"/>
    </xf>
    <xf numFmtId="0" fontId="16" fillId="19" borderId="4" xfId="0" applyFont="1" applyFill="1" applyBorder="1" applyAlignment="1">
      <alignment vertical="center" wrapText="1"/>
    </xf>
    <xf numFmtId="0" fontId="21" fillId="19" borderId="4" xfId="0" applyFont="1" applyFill="1" applyBorder="1" applyAlignment="1">
      <alignment vertical="center" wrapText="1"/>
    </xf>
    <xf numFmtId="0" fontId="11" fillId="5" borderId="18" xfId="0" applyFont="1" applyFill="1" applyBorder="1" applyAlignment="1">
      <alignment vertical="center" wrapText="1"/>
    </xf>
    <xf numFmtId="2" fontId="2" fillId="5" borderId="1" xfId="0" applyNumberFormat="1" applyFont="1" applyFill="1" applyBorder="1" applyAlignment="1">
      <alignment horizontal="center" vertical="center" wrapText="1"/>
    </xf>
    <xf numFmtId="2" fontId="11" fillId="5" borderId="3" xfId="0" applyNumberFormat="1" applyFont="1" applyFill="1" applyBorder="1" applyAlignment="1">
      <alignment horizontal="center" vertical="center"/>
    </xf>
    <xf numFmtId="2" fontId="2" fillId="5" borderId="3" xfId="0" applyNumberFormat="1" applyFont="1" applyFill="1" applyBorder="1" applyAlignment="1">
      <alignment horizontal="center" vertical="center"/>
    </xf>
    <xf numFmtId="2" fontId="2" fillId="5" borderId="11" xfId="0" applyNumberFormat="1" applyFont="1" applyFill="1" applyBorder="1" applyAlignment="1">
      <alignment horizontal="center" vertical="center"/>
    </xf>
    <xf numFmtId="9" fontId="11" fillId="5" borderId="4" xfId="1" applyFont="1" applyFill="1" applyBorder="1" applyAlignment="1">
      <alignment horizontal="center" vertical="center" wrapText="1"/>
    </xf>
    <xf numFmtId="0" fontId="2" fillId="7" borderId="28" xfId="0" applyFont="1" applyFill="1" applyBorder="1" applyAlignment="1">
      <alignment vertical="center" wrapText="1"/>
    </xf>
    <xf numFmtId="0" fontId="11" fillId="5" borderId="1" xfId="0" applyFont="1" applyFill="1" applyBorder="1" applyAlignment="1">
      <alignment horizontal="center" vertical="center" wrapText="1"/>
    </xf>
    <xf numFmtId="0" fontId="2" fillId="5" borderId="0" xfId="0" applyFont="1" applyFill="1" applyAlignment="1">
      <alignment vertical="center" wrapText="1"/>
    </xf>
    <xf numFmtId="2" fontId="11" fillId="5" borderId="4" xfId="1" applyNumberFormat="1" applyFont="1" applyFill="1" applyBorder="1" applyAlignment="1">
      <alignment horizontal="center" vertical="center"/>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10" fillId="12" borderId="1" xfId="0" applyFont="1" applyFill="1" applyBorder="1" applyAlignment="1">
      <alignment horizontal="center" vertical="center"/>
    </xf>
    <xf numFmtId="0" fontId="10" fillId="12" borderId="2" xfId="0" applyFont="1" applyFill="1" applyBorder="1" applyAlignment="1">
      <alignment horizontal="center" vertical="center"/>
    </xf>
    <xf numFmtId="0" fontId="10" fillId="12" borderId="3" xfId="0" applyFont="1" applyFill="1" applyBorder="1" applyAlignment="1">
      <alignment horizontal="center" vertical="center"/>
    </xf>
    <xf numFmtId="0" fontId="11" fillId="10" borderId="1" xfId="0" applyFont="1" applyFill="1" applyBorder="1" applyAlignment="1">
      <alignment horizontal="left" vertical="center"/>
    </xf>
    <xf numFmtId="0" fontId="11" fillId="10" borderId="3" xfId="0" applyFont="1" applyFill="1" applyBorder="1" applyAlignment="1">
      <alignment horizontal="left" vertical="center"/>
    </xf>
    <xf numFmtId="0" fontId="16" fillId="19" borderId="26" xfId="0" applyFont="1" applyFill="1" applyBorder="1" applyAlignment="1">
      <alignment horizontal="left" vertical="center" wrapText="1"/>
    </xf>
    <xf numFmtId="0" fontId="16" fillId="19" borderId="27" xfId="0" applyFont="1" applyFill="1" applyBorder="1" applyAlignment="1">
      <alignment horizontal="left" vertical="center" wrapText="1"/>
    </xf>
    <xf numFmtId="0" fontId="16" fillId="19" borderId="4" xfId="0" applyFont="1" applyFill="1" applyBorder="1" applyAlignment="1">
      <alignment horizontal="left" vertical="center" wrapText="1"/>
    </xf>
    <xf numFmtId="0" fontId="11" fillId="16" borderId="1" xfId="0" applyFont="1" applyFill="1" applyBorder="1" applyAlignment="1">
      <alignment horizontal="left" vertical="center" wrapText="1"/>
    </xf>
    <xf numFmtId="0" fontId="11" fillId="16" borderId="2" xfId="0" applyFont="1" applyFill="1" applyBorder="1" applyAlignment="1">
      <alignment horizontal="left" vertical="center" wrapText="1"/>
    </xf>
    <xf numFmtId="0" fontId="11" fillId="16" borderId="3" xfId="0" applyFont="1" applyFill="1" applyBorder="1" applyAlignment="1">
      <alignment horizontal="left" vertical="center" wrapText="1"/>
    </xf>
    <xf numFmtId="0" fontId="11" fillId="9" borderId="1" xfId="0" applyFont="1" applyFill="1" applyBorder="1" applyAlignment="1">
      <alignment horizontal="left" vertical="center"/>
    </xf>
    <xf numFmtId="0" fontId="11" fillId="9" borderId="2" xfId="0" applyFont="1" applyFill="1" applyBorder="1" applyAlignment="1">
      <alignment horizontal="left" vertical="center"/>
    </xf>
    <xf numFmtId="0" fontId="11" fillId="9" borderId="3" xfId="0" applyFont="1" applyFill="1" applyBorder="1" applyAlignment="1">
      <alignment horizontal="left" vertical="center"/>
    </xf>
    <xf numFmtId="0" fontId="11" fillId="5" borderId="1" xfId="0" applyFont="1" applyFill="1" applyBorder="1" applyAlignment="1">
      <alignment horizontal="left" vertical="center"/>
    </xf>
    <xf numFmtId="0" fontId="11" fillId="5" borderId="3" xfId="0" applyFont="1" applyFill="1" applyBorder="1" applyAlignment="1">
      <alignment horizontal="left" vertical="center"/>
    </xf>
    <xf numFmtId="0" fontId="11" fillId="5" borderId="1" xfId="0" applyFont="1" applyFill="1" applyBorder="1" applyAlignment="1">
      <alignment horizontal="left" vertical="center" wrapText="1"/>
    </xf>
    <xf numFmtId="0" fontId="11" fillId="5" borderId="3" xfId="0" applyFont="1" applyFill="1" applyBorder="1" applyAlignment="1">
      <alignment horizontal="left" vertical="center" wrapText="1"/>
    </xf>
    <xf numFmtId="0" fontId="11" fillId="7" borderId="1" xfId="0" applyFont="1" applyFill="1" applyBorder="1" applyAlignment="1">
      <alignment horizontal="left" vertical="center"/>
    </xf>
    <xf numFmtId="0" fontId="11" fillId="7" borderId="2" xfId="0" applyFont="1" applyFill="1" applyBorder="1" applyAlignment="1">
      <alignment horizontal="left" vertical="center"/>
    </xf>
    <xf numFmtId="0" fontId="11" fillId="7" borderId="3" xfId="0" applyFont="1" applyFill="1" applyBorder="1" applyAlignment="1">
      <alignment horizontal="left" vertical="center"/>
    </xf>
    <xf numFmtId="0" fontId="11" fillId="7" borderId="1" xfId="0" applyFont="1" applyFill="1" applyBorder="1" applyAlignment="1">
      <alignment horizontal="left" vertical="center" wrapText="1"/>
    </xf>
    <xf numFmtId="0" fontId="11" fillId="7" borderId="2" xfId="0" applyFont="1" applyFill="1" applyBorder="1" applyAlignment="1">
      <alignment horizontal="left" vertical="center" wrapText="1"/>
    </xf>
    <xf numFmtId="0" fontId="11" fillId="7" borderId="3" xfId="0" applyFont="1" applyFill="1" applyBorder="1" applyAlignment="1">
      <alignment horizontal="left" vertical="center" wrapText="1"/>
    </xf>
    <xf numFmtId="0" fontId="1" fillId="8" borderId="1" xfId="0" applyFont="1" applyFill="1" applyBorder="1" applyAlignment="1">
      <alignment horizontal="left" vertical="center"/>
    </xf>
    <xf numFmtId="0" fontId="1" fillId="8" borderId="2" xfId="0" applyFont="1" applyFill="1" applyBorder="1" applyAlignment="1">
      <alignment horizontal="left" vertical="center"/>
    </xf>
    <xf numFmtId="0" fontId="1" fillId="8" borderId="3" xfId="0" applyFont="1" applyFill="1" applyBorder="1" applyAlignment="1">
      <alignment horizontal="left" vertical="center"/>
    </xf>
    <xf numFmtId="2" fontId="11" fillId="5" borderId="1" xfId="0" applyNumberFormat="1" applyFont="1" applyFill="1" applyBorder="1" applyAlignment="1">
      <alignment horizontal="left" vertical="center" wrapText="1"/>
    </xf>
    <xf numFmtId="2" fontId="11" fillId="5" borderId="3" xfId="0" applyNumberFormat="1" applyFont="1" applyFill="1" applyBorder="1" applyAlignment="1">
      <alignment horizontal="left" vertical="center" wrapText="1"/>
    </xf>
    <xf numFmtId="0" fontId="11" fillId="16" borderId="4" xfId="0" applyFont="1" applyFill="1" applyBorder="1" applyAlignment="1">
      <alignment horizontal="left" vertical="center"/>
    </xf>
    <xf numFmtId="0" fontId="11" fillId="7" borderId="4" xfId="0" applyFont="1" applyFill="1" applyBorder="1" applyAlignment="1">
      <alignment horizontal="left" vertical="center"/>
    </xf>
    <xf numFmtId="0" fontId="11" fillId="13" borderId="1" xfId="0" applyFont="1" applyFill="1" applyBorder="1" applyAlignment="1">
      <alignment horizontal="left" vertical="center" wrapText="1"/>
    </xf>
    <xf numFmtId="0" fontId="11" fillId="13" borderId="3" xfId="0" applyFont="1" applyFill="1" applyBorder="1" applyAlignment="1">
      <alignment horizontal="left" vertical="center" wrapText="1"/>
    </xf>
    <xf numFmtId="0" fontId="11" fillId="13" borderId="1" xfId="0" applyFont="1" applyFill="1" applyBorder="1" applyAlignment="1">
      <alignment horizontal="left" vertical="center"/>
    </xf>
    <xf numFmtId="0" fontId="11" fillId="13" borderId="3" xfId="0" applyFont="1" applyFill="1" applyBorder="1" applyAlignment="1">
      <alignment horizontal="left" vertical="center"/>
    </xf>
    <xf numFmtId="0" fontId="11" fillId="7" borderId="20" xfId="0" applyFont="1" applyFill="1" applyBorder="1" applyAlignment="1">
      <alignment horizontal="left" vertical="center"/>
    </xf>
    <xf numFmtId="0" fontId="11" fillId="7" borderId="21" xfId="0" applyFont="1" applyFill="1" applyBorder="1" applyAlignment="1">
      <alignment horizontal="left" vertical="center"/>
    </xf>
    <xf numFmtId="0" fontId="11" fillId="7" borderId="19" xfId="0" applyFont="1" applyFill="1" applyBorder="1" applyAlignment="1">
      <alignment horizontal="left" vertical="center"/>
    </xf>
    <xf numFmtId="0" fontId="11" fillId="5" borderId="2" xfId="0" applyFont="1" applyFill="1" applyBorder="1" applyAlignment="1">
      <alignment horizontal="left" vertical="center" wrapText="1"/>
    </xf>
    <xf numFmtId="0" fontId="11" fillId="4" borderId="1" xfId="0" applyFont="1" applyFill="1" applyBorder="1" applyAlignment="1">
      <alignment horizontal="left" vertical="center"/>
    </xf>
    <xf numFmtId="0" fontId="11" fillId="4" borderId="2" xfId="0" applyFont="1" applyFill="1" applyBorder="1" applyAlignment="1">
      <alignment horizontal="left" vertical="center"/>
    </xf>
    <xf numFmtId="0" fontId="11" fillId="4" borderId="3" xfId="0" applyFont="1" applyFill="1" applyBorder="1" applyAlignment="1">
      <alignment horizontal="left" vertical="center"/>
    </xf>
    <xf numFmtId="0" fontId="1" fillId="2" borderId="4" xfId="0" applyFont="1" applyFill="1" applyBorder="1" applyAlignment="1">
      <alignment horizontal="center" vertical="center"/>
    </xf>
    <xf numFmtId="2" fontId="11" fillId="10" borderId="1" xfId="0" applyNumberFormat="1" applyFont="1" applyFill="1" applyBorder="1" applyAlignment="1">
      <alignment horizontal="left" vertical="center" wrapText="1"/>
    </xf>
    <xf numFmtId="2" fontId="11" fillId="10" borderId="3" xfId="0" applyNumberFormat="1" applyFont="1" applyFill="1" applyBorder="1" applyAlignment="1">
      <alignment horizontal="left" vertical="center" wrapText="1"/>
    </xf>
    <xf numFmtId="0" fontId="11" fillId="10" borderId="1" xfId="0" applyFont="1" applyFill="1" applyBorder="1" applyAlignment="1">
      <alignment horizontal="left" vertical="center" wrapText="1"/>
    </xf>
    <xf numFmtId="0" fontId="11" fillId="10" borderId="3" xfId="0" applyFont="1" applyFill="1" applyBorder="1" applyAlignment="1">
      <alignment horizontal="left" vertical="center" wrapText="1"/>
    </xf>
    <xf numFmtId="0" fontId="11" fillId="10" borderId="4" xfId="0" applyFont="1" applyFill="1" applyBorder="1" applyAlignment="1">
      <alignment horizontal="left" vertical="center"/>
    </xf>
    <xf numFmtId="0" fontId="11" fillId="16" borderId="1" xfId="0" applyFont="1" applyFill="1" applyBorder="1" applyAlignment="1">
      <alignment horizontal="left" vertical="center"/>
    </xf>
    <xf numFmtId="0" fontId="11" fillId="16" borderId="2" xfId="0" applyFont="1" applyFill="1" applyBorder="1" applyAlignment="1">
      <alignment horizontal="left" vertical="center"/>
    </xf>
    <xf numFmtId="0" fontId="11" fillId="16" borderId="3" xfId="0" applyFont="1" applyFill="1" applyBorder="1" applyAlignment="1">
      <alignment horizontal="left" vertical="center"/>
    </xf>
    <xf numFmtId="0" fontId="1" fillId="12" borderId="1" xfId="0" applyFont="1" applyFill="1" applyBorder="1" applyAlignment="1">
      <alignment horizontal="center" vertical="center" wrapText="1"/>
    </xf>
    <xf numFmtId="0" fontId="1" fillId="12" borderId="2"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1" fillId="12" borderId="1" xfId="0" applyFont="1" applyFill="1" applyBorder="1" applyAlignment="1">
      <alignment horizontal="center" vertical="center"/>
    </xf>
    <xf numFmtId="0" fontId="1" fillId="12" borderId="2" xfId="0" applyFont="1" applyFill="1" applyBorder="1" applyAlignment="1">
      <alignment horizontal="center" vertical="center"/>
    </xf>
    <xf numFmtId="0" fontId="1" fillId="12" borderId="3" xfId="0" applyFont="1" applyFill="1" applyBorder="1" applyAlignment="1">
      <alignment horizontal="center" vertical="center"/>
    </xf>
    <xf numFmtId="0" fontId="1" fillId="3" borderId="1" xfId="0" applyFont="1" applyFill="1" applyBorder="1" applyAlignment="1">
      <alignment horizontal="left" vertical="center"/>
    </xf>
    <xf numFmtId="0" fontId="1" fillId="3" borderId="2" xfId="0" applyFont="1" applyFill="1" applyBorder="1" applyAlignment="1">
      <alignment horizontal="left" vertical="center"/>
    </xf>
    <xf numFmtId="0" fontId="11" fillId="5" borderId="12" xfId="0" applyFont="1" applyFill="1" applyBorder="1" applyAlignment="1">
      <alignment horizontal="left" vertical="center"/>
    </xf>
    <xf numFmtId="0" fontId="11" fillId="5" borderId="13" xfId="0" applyFont="1" applyFill="1" applyBorder="1" applyAlignment="1">
      <alignment horizontal="left" vertical="center"/>
    </xf>
    <xf numFmtId="0" fontId="11" fillId="7" borderId="20" xfId="0" quotePrefix="1" applyFont="1" applyFill="1" applyBorder="1" applyAlignment="1">
      <alignment horizontal="left" vertical="center"/>
    </xf>
    <xf numFmtId="0" fontId="11" fillId="7" borderId="21" xfId="0" quotePrefix="1" applyFont="1" applyFill="1" applyBorder="1" applyAlignment="1">
      <alignment horizontal="left" vertical="center"/>
    </xf>
    <xf numFmtId="0" fontId="11" fillId="7" borderId="19" xfId="0" quotePrefix="1" applyFont="1" applyFill="1" applyBorder="1" applyAlignment="1">
      <alignment horizontal="left" vertical="center"/>
    </xf>
    <xf numFmtId="0" fontId="12" fillId="7" borderId="4" xfId="0" applyFont="1" applyFill="1" applyBorder="1" applyAlignment="1">
      <alignment horizontal="left" vertical="center"/>
    </xf>
    <xf numFmtId="0" fontId="11" fillId="14" borderId="15" xfId="0" applyFont="1" applyFill="1" applyBorder="1" applyAlignment="1">
      <alignment horizontal="left" vertical="center"/>
    </xf>
    <xf numFmtId="0" fontId="11" fillId="14" borderId="14" xfId="0" applyFont="1" applyFill="1" applyBorder="1" applyAlignment="1">
      <alignment horizontal="left" vertical="center"/>
    </xf>
    <xf numFmtId="0" fontId="11" fillId="5" borderId="25" xfId="0" quotePrefix="1" applyFont="1" applyFill="1" applyBorder="1" applyAlignment="1">
      <alignment horizontal="left" vertical="center"/>
    </xf>
    <xf numFmtId="0" fontId="11" fillId="5" borderId="18" xfId="0" quotePrefix="1" applyFont="1" applyFill="1" applyBorder="1" applyAlignment="1">
      <alignment horizontal="left" vertical="center"/>
    </xf>
    <xf numFmtId="0" fontId="11" fillId="5" borderId="2" xfId="0" quotePrefix="1" applyFont="1" applyFill="1" applyBorder="1" applyAlignment="1">
      <alignment horizontal="left" vertical="center" wrapText="1"/>
    </xf>
    <xf numFmtId="0" fontId="11" fillId="5" borderId="3" xfId="0" quotePrefix="1" applyFont="1" applyFill="1" applyBorder="1" applyAlignment="1">
      <alignment horizontal="left" vertical="center" wrapText="1"/>
    </xf>
    <xf numFmtId="0" fontId="11" fillId="5" borderId="4" xfId="0" quotePrefix="1" applyFont="1" applyFill="1" applyBorder="1" applyAlignment="1">
      <alignment horizontal="left" vertical="center"/>
    </xf>
    <xf numFmtId="0" fontId="11" fillId="5" borderId="9" xfId="0" quotePrefix="1" applyFont="1" applyFill="1" applyBorder="1" applyAlignment="1">
      <alignment horizontal="left" vertical="center"/>
    </xf>
    <xf numFmtId="0" fontId="11" fillId="7" borderId="1" xfId="0" quotePrefix="1" applyFont="1" applyFill="1" applyBorder="1" applyAlignment="1">
      <alignment horizontal="left" vertical="center"/>
    </xf>
    <xf numFmtId="0" fontId="11" fillId="7" borderId="2" xfId="0" quotePrefix="1" applyFont="1" applyFill="1" applyBorder="1" applyAlignment="1">
      <alignment horizontal="left" vertical="center"/>
    </xf>
    <xf numFmtId="0" fontId="11" fillId="7" borderId="3" xfId="0" quotePrefix="1" applyFont="1" applyFill="1" applyBorder="1" applyAlignment="1">
      <alignment horizontal="left" vertical="center"/>
    </xf>
    <xf numFmtId="0" fontId="12" fillId="5" borderId="1"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2" fillId="5" borderId="7" xfId="0" applyFont="1" applyFill="1" applyBorder="1" applyAlignment="1">
      <alignment horizontal="center" vertical="center" wrapText="1"/>
    </xf>
    <xf numFmtId="0" fontId="2" fillId="5" borderId="28"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15" fillId="7" borderId="1" xfId="0" applyFont="1" applyFill="1" applyBorder="1" applyAlignment="1">
      <alignment horizontal="left" vertical="center"/>
    </xf>
    <xf numFmtId="0" fontId="15" fillId="7" borderId="2" xfId="0" applyFont="1" applyFill="1" applyBorder="1" applyAlignment="1">
      <alignment horizontal="left" vertical="center"/>
    </xf>
    <xf numFmtId="0" fontId="15" fillId="7" borderId="3" xfId="0" applyFont="1" applyFill="1" applyBorder="1" applyAlignment="1">
      <alignment horizontal="left" vertical="center"/>
    </xf>
    <xf numFmtId="0" fontId="15" fillId="5" borderId="4" xfId="0" applyFont="1" applyFill="1" applyBorder="1" applyAlignment="1">
      <alignment horizontal="left" vertical="center"/>
    </xf>
    <xf numFmtId="0" fontId="12" fillId="5" borderId="1" xfId="0" applyFont="1" applyFill="1" applyBorder="1" applyAlignment="1">
      <alignment horizontal="left" vertical="center"/>
    </xf>
    <xf numFmtId="0" fontId="12" fillId="5" borderId="3" xfId="0" applyFont="1" applyFill="1" applyBorder="1" applyAlignment="1">
      <alignment horizontal="left" vertical="center"/>
    </xf>
    <xf numFmtId="0" fontId="2" fillId="5" borderId="29" xfId="0" applyFont="1" applyFill="1" applyBorder="1" applyAlignment="1">
      <alignment horizontal="center" vertical="center" wrapText="1"/>
    </xf>
    <xf numFmtId="0" fontId="2" fillId="5" borderId="30" xfId="0" applyFont="1" applyFill="1" applyBorder="1" applyAlignment="1">
      <alignment horizontal="center" vertical="center" wrapText="1"/>
    </xf>
    <xf numFmtId="0" fontId="2" fillId="5" borderId="31"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BA8E-5813-44CB-A9C5-05678F390FED}">
  <dimension ref="A1:BO32"/>
  <sheetViews>
    <sheetView view="pageBreakPreview" zoomScale="125" zoomScaleNormal="70" workbookViewId="0">
      <pane ySplit="2" topLeftCell="A3" activePane="bottomLeft" state="frozen"/>
      <selection pane="bottomLeft" activeCell="B3" sqref="B3"/>
    </sheetView>
  </sheetViews>
  <sheetFormatPr baseColWidth="10" defaultColWidth="8.6640625" defaultRowHeight="34.5" customHeight="1" x14ac:dyDescent="0.2"/>
  <cols>
    <col min="1" max="1" width="3.1640625" style="12" customWidth="1"/>
    <col min="2" max="2" width="4.33203125" style="12" customWidth="1"/>
    <col min="3" max="3" width="3.6640625" style="12" customWidth="1"/>
    <col min="4" max="4" width="39.5" style="28" customWidth="1"/>
    <col min="5" max="8" width="10.1640625" style="12" customWidth="1"/>
    <col min="9" max="9" width="46.1640625" style="25" customWidth="1"/>
    <col min="10" max="10" width="26.5" style="3" customWidth="1"/>
    <col min="11" max="16384" width="8.6640625" style="3"/>
  </cols>
  <sheetData>
    <row r="1" spans="1:67" s="1" customFormat="1" ht="34.5" customHeight="1" x14ac:dyDescent="0.2">
      <c r="A1" s="334" t="s">
        <v>227</v>
      </c>
      <c r="B1" s="335"/>
      <c r="C1" s="335"/>
      <c r="D1" s="336"/>
      <c r="E1" s="29" t="s">
        <v>224</v>
      </c>
      <c r="F1" s="29" t="s">
        <v>225</v>
      </c>
      <c r="G1" s="29" t="s">
        <v>226</v>
      </c>
      <c r="H1" s="29" t="s">
        <v>74</v>
      </c>
      <c r="I1" s="29" t="s">
        <v>228</v>
      </c>
      <c r="J1" s="29" t="s">
        <v>229</v>
      </c>
    </row>
    <row r="2" spans="1:67" s="2" customFormat="1" ht="24.5" customHeight="1" x14ac:dyDescent="0.2">
      <c r="A2" s="334">
        <v>1</v>
      </c>
      <c r="B2" s="335"/>
      <c r="C2" s="335"/>
      <c r="D2" s="336"/>
      <c r="E2" s="30">
        <v>2</v>
      </c>
      <c r="F2" s="30">
        <v>3</v>
      </c>
      <c r="G2" s="30">
        <v>4</v>
      </c>
      <c r="H2" s="30">
        <v>5</v>
      </c>
      <c r="I2" s="29">
        <v>6</v>
      </c>
      <c r="J2" s="29">
        <v>7</v>
      </c>
    </row>
    <row r="3" spans="1:67" ht="24.5" customHeight="1" x14ac:dyDescent="0.2">
      <c r="A3" s="31" t="s">
        <v>7</v>
      </c>
      <c r="B3" s="32" t="s">
        <v>8</v>
      </c>
      <c r="C3" s="33"/>
      <c r="D3" s="34"/>
      <c r="E3" s="35">
        <f>E4+E13+E20</f>
        <v>65</v>
      </c>
      <c r="F3" s="35"/>
      <c r="G3" s="35">
        <f>G4+G13+G20</f>
        <v>65</v>
      </c>
      <c r="H3" s="35">
        <f>G3/E3*100</f>
        <v>100</v>
      </c>
      <c r="I3" s="36"/>
      <c r="J3" s="36"/>
    </row>
    <row r="4" spans="1:67" ht="34.5" customHeight="1" x14ac:dyDescent="0.2">
      <c r="A4" s="37"/>
      <c r="B4" s="37" t="s">
        <v>9</v>
      </c>
      <c r="C4" s="38" t="s">
        <v>10</v>
      </c>
      <c r="D4" s="39"/>
      <c r="E4" s="40">
        <f>SUM(E5:E12)</f>
        <v>36</v>
      </c>
      <c r="F4" s="40"/>
      <c r="G4" s="40">
        <f>SUM(G5:G12)</f>
        <v>36</v>
      </c>
      <c r="H4" s="40">
        <f>G4/E4*100</f>
        <v>100</v>
      </c>
      <c r="I4" s="20"/>
      <c r="J4" s="20"/>
    </row>
    <row r="5" spans="1:67" s="8" customFormat="1" ht="34.5" customHeight="1" x14ac:dyDescent="0.2">
      <c r="A5" s="4"/>
      <c r="B5" s="4"/>
      <c r="C5" s="4" t="s">
        <v>11</v>
      </c>
      <c r="D5" s="15" t="s">
        <v>12</v>
      </c>
      <c r="E5" s="5">
        <v>6</v>
      </c>
      <c r="F5" s="60">
        <f>'INSTRUMEN INDIKATOR'!K5</f>
        <v>100</v>
      </c>
      <c r="G5" s="5">
        <f>F5*E5%</f>
        <v>6</v>
      </c>
      <c r="H5" s="5">
        <f>G5/E5*100</f>
        <v>100</v>
      </c>
      <c r="I5" s="6" t="s">
        <v>233</v>
      </c>
      <c r="J5" s="66" t="s">
        <v>213</v>
      </c>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row>
    <row r="6" spans="1:67" s="42" customFormat="1" ht="34.5" customHeight="1" x14ac:dyDescent="0.2">
      <c r="A6" s="4"/>
      <c r="B6" s="4"/>
      <c r="C6" s="4" t="s">
        <v>81</v>
      </c>
      <c r="D6" s="41" t="s">
        <v>55</v>
      </c>
      <c r="E6" s="5">
        <v>6</v>
      </c>
      <c r="F6" s="60">
        <f>'INSTRUMEN INDIKATOR'!K42</f>
        <v>100</v>
      </c>
      <c r="G6" s="5">
        <f t="shared" ref="G6:G12" si="0">F6*E6%</f>
        <v>6</v>
      </c>
      <c r="H6" s="5">
        <f t="shared" ref="H6:H12" si="1">G6/E6*100</f>
        <v>100</v>
      </c>
      <c r="I6" s="6" t="s">
        <v>56</v>
      </c>
      <c r="J6" s="66" t="s">
        <v>75</v>
      </c>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row>
    <row r="7" spans="1:67" s="42" customFormat="1" ht="34.5" customHeight="1" x14ac:dyDescent="0.2">
      <c r="A7" s="4"/>
      <c r="B7" s="4"/>
      <c r="C7" s="4" t="s">
        <v>92</v>
      </c>
      <c r="D7" s="41" t="s">
        <v>67</v>
      </c>
      <c r="E7" s="5">
        <v>4</v>
      </c>
      <c r="F7" s="60">
        <f>'INSTRUMEN INDIKATOR'!K48</f>
        <v>100</v>
      </c>
      <c r="G7" s="5">
        <f t="shared" si="0"/>
        <v>4</v>
      </c>
      <c r="H7" s="5">
        <f t="shared" si="1"/>
        <v>100</v>
      </c>
      <c r="I7" s="6" t="s">
        <v>212</v>
      </c>
      <c r="J7" s="67" t="s">
        <v>214</v>
      </c>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row>
    <row r="8" spans="1:67" ht="34.5" customHeight="1" x14ac:dyDescent="0.2">
      <c r="A8" s="4"/>
      <c r="B8" s="4"/>
      <c r="C8" s="4" t="s">
        <v>94</v>
      </c>
      <c r="D8" s="41" t="s">
        <v>72</v>
      </c>
      <c r="E8" s="5">
        <v>4</v>
      </c>
      <c r="F8" s="60">
        <f>'INSTRUMEN INDIKATOR'!K51</f>
        <v>100</v>
      </c>
      <c r="G8" s="5">
        <f t="shared" si="0"/>
        <v>4</v>
      </c>
      <c r="H8" s="5">
        <f t="shared" si="1"/>
        <v>100</v>
      </c>
      <c r="I8" s="6" t="s">
        <v>209</v>
      </c>
      <c r="J8" s="66" t="s">
        <v>75</v>
      </c>
    </row>
    <row r="9" spans="1:67" ht="34.5" customHeight="1" x14ac:dyDescent="0.2">
      <c r="A9" s="4"/>
      <c r="B9" s="4"/>
      <c r="C9" s="4" t="s">
        <v>112</v>
      </c>
      <c r="D9" s="41" t="s">
        <v>78</v>
      </c>
      <c r="E9" s="43">
        <v>4</v>
      </c>
      <c r="F9" s="60">
        <f>'INSTRUMEN INDIKATOR'!K55</f>
        <v>100</v>
      </c>
      <c r="G9" s="5">
        <f t="shared" si="0"/>
        <v>4</v>
      </c>
      <c r="H9" s="5">
        <f t="shared" si="1"/>
        <v>100</v>
      </c>
      <c r="I9" s="6" t="s">
        <v>234</v>
      </c>
      <c r="J9" s="68" t="s">
        <v>215</v>
      </c>
    </row>
    <row r="10" spans="1:67" s="8" customFormat="1" ht="34.5" customHeight="1" x14ac:dyDescent="0.2">
      <c r="A10" s="18"/>
      <c r="B10" s="18"/>
      <c r="C10" s="4" t="s">
        <v>117</v>
      </c>
      <c r="D10" s="44" t="s">
        <v>82</v>
      </c>
      <c r="E10" s="45">
        <v>4</v>
      </c>
      <c r="F10" s="60">
        <f>'INSTRUMEN INDIKATOR'!K60</f>
        <v>100</v>
      </c>
      <c r="G10" s="5">
        <f t="shared" si="0"/>
        <v>4</v>
      </c>
      <c r="H10" s="5">
        <f t="shared" si="1"/>
        <v>100</v>
      </c>
      <c r="I10" s="6" t="s">
        <v>83</v>
      </c>
      <c r="J10" s="66" t="s">
        <v>216</v>
      </c>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s="8" customFormat="1" ht="34.5" customHeight="1" x14ac:dyDescent="0.2">
      <c r="A11" s="18"/>
      <c r="B11" s="18"/>
      <c r="C11" s="4" t="s">
        <v>126</v>
      </c>
      <c r="D11" s="44" t="s">
        <v>84</v>
      </c>
      <c r="E11" s="45">
        <v>4</v>
      </c>
      <c r="F11" s="60">
        <f>'INSTRUMEN INDIKATOR'!K63</f>
        <v>100</v>
      </c>
      <c r="G11" s="5">
        <f t="shared" si="0"/>
        <v>4</v>
      </c>
      <c r="H11" s="5">
        <f t="shared" si="1"/>
        <v>100</v>
      </c>
      <c r="I11" s="6" t="s">
        <v>85</v>
      </c>
      <c r="J11" s="66" t="s">
        <v>217</v>
      </c>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s="8" customFormat="1" ht="34.5" customHeight="1" x14ac:dyDescent="0.2">
      <c r="A12" s="18"/>
      <c r="B12" s="18"/>
      <c r="C12" s="18" t="s">
        <v>208</v>
      </c>
      <c r="D12" s="16" t="s">
        <v>87</v>
      </c>
      <c r="E12" s="45">
        <v>4</v>
      </c>
      <c r="F12" s="60">
        <f>'INSTRUMEN INDIKATOR'!K66</f>
        <v>100</v>
      </c>
      <c r="G12" s="5">
        <f t="shared" si="0"/>
        <v>4</v>
      </c>
      <c r="H12" s="5">
        <f t="shared" si="1"/>
        <v>100</v>
      </c>
      <c r="I12" s="6" t="s">
        <v>235</v>
      </c>
      <c r="J12" s="69" t="s">
        <v>75</v>
      </c>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29.5" customHeight="1" x14ac:dyDescent="0.2">
      <c r="A13" s="37"/>
      <c r="B13" s="37" t="s">
        <v>89</v>
      </c>
      <c r="C13" s="38" t="s">
        <v>90</v>
      </c>
      <c r="D13" s="39"/>
      <c r="E13" s="40">
        <f>SUM(E14:E19)</f>
        <v>24</v>
      </c>
      <c r="F13" s="61"/>
      <c r="G13" s="40">
        <f>SUM(G14:G19)</f>
        <v>24</v>
      </c>
      <c r="H13" s="40">
        <f>G13/E13*100</f>
        <v>100</v>
      </c>
      <c r="I13" s="76"/>
      <c r="J13" s="20"/>
    </row>
    <row r="14" spans="1:67" s="42" customFormat="1" ht="34.5" customHeight="1" x14ac:dyDescent="0.2">
      <c r="A14" s="4"/>
      <c r="B14" s="4"/>
      <c r="C14" s="4" t="s">
        <v>11</v>
      </c>
      <c r="D14" s="6" t="s">
        <v>463</v>
      </c>
      <c r="E14" s="5">
        <v>4</v>
      </c>
      <c r="F14" s="60">
        <f>'INSTRUMEN INDIKATOR'!K70</f>
        <v>100</v>
      </c>
      <c r="G14" s="5">
        <f t="shared" ref="G14:G19" si="2">F14*E14%</f>
        <v>4</v>
      </c>
      <c r="H14" s="5">
        <f>G14/E14*100</f>
        <v>100</v>
      </c>
      <c r="I14" s="66" t="s">
        <v>464</v>
      </c>
      <c r="J14" s="19" t="s">
        <v>217</v>
      </c>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s="42" customFormat="1" ht="34.5" customHeight="1" x14ac:dyDescent="0.2">
      <c r="A15" s="4"/>
      <c r="B15" s="4"/>
      <c r="C15" s="4" t="s">
        <v>81</v>
      </c>
      <c r="D15" s="15" t="s">
        <v>95</v>
      </c>
      <c r="E15" s="5">
        <v>4</v>
      </c>
      <c r="F15" s="60">
        <f>'INSTRUMEN INDIKATOR'!K108</f>
        <v>100</v>
      </c>
      <c r="G15" s="5">
        <f t="shared" si="2"/>
        <v>4</v>
      </c>
      <c r="H15" s="5">
        <f t="shared" ref="H15:H19" si="3">G15/E15*100</f>
        <v>100</v>
      </c>
      <c r="I15" s="66" t="s">
        <v>219</v>
      </c>
      <c r="J15" s="19" t="s">
        <v>218</v>
      </c>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34.5" customHeight="1" x14ac:dyDescent="0.2">
      <c r="A16" s="4"/>
      <c r="B16" s="4"/>
      <c r="C16" s="4" t="s">
        <v>92</v>
      </c>
      <c r="D16" s="6" t="s">
        <v>91</v>
      </c>
      <c r="E16" s="5">
        <v>4</v>
      </c>
      <c r="F16" s="60">
        <f>'INSTRUMEN INDIKATOR'!K119</f>
        <v>100</v>
      </c>
      <c r="G16" s="5">
        <f t="shared" si="2"/>
        <v>4</v>
      </c>
      <c r="H16" s="5">
        <f t="shared" si="3"/>
        <v>100</v>
      </c>
      <c r="I16" s="27" t="s">
        <v>210</v>
      </c>
      <c r="J16" s="17" t="s">
        <v>213</v>
      </c>
    </row>
    <row r="17" spans="1:10" ht="34.5" customHeight="1" x14ac:dyDescent="0.2">
      <c r="A17" s="4"/>
      <c r="B17" s="4"/>
      <c r="C17" s="4" t="s">
        <v>94</v>
      </c>
      <c r="D17" s="15" t="s">
        <v>113</v>
      </c>
      <c r="E17" s="5">
        <v>4</v>
      </c>
      <c r="F17" s="60">
        <f>'INSTRUMEN INDIKATOR'!K128</f>
        <v>100</v>
      </c>
      <c r="G17" s="5">
        <f t="shared" si="2"/>
        <v>4</v>
      </c>
      <c r="H17" s="5">
        <f t="shared" si="3"/>
        <v>100</v>
      </c>
      <c r="I17" s="66" t="s">
        <v>114</v>
      </c>
      <c r="J17" s="19" t="s">
        <v>288</v>
      </c>
    </row>
    <row r="18" spans="1:10" ht="34.5" customHeight="1" x14ac:dyDescent="0.2">
      <c r="A18" s="4"/>
      <c r="B18" s="4"/>
      <c r="C18" s="4" t="s">
        <v>112</v>
      </c>
      <c r="D18" s="15" t="s">
        <v>118</v>
      </c>
      <c r="E18" s="5">
        <v>4</v>
      </c>
      <c r="F18" s="60">
        <f>'INSTRUMEN INDIKATOR'!K131</f>
        <v>100</v>
      </c>
      <c r="G18" s="5">
        <f t="shared" si="2"/>
        <v>4</v>
      </c>
      <c r="H18" s="5">
        <f t="shared" si="3"/>
        <v>100</v>
      </c>
      <c r="I18" s="66" t="s">
        <v>211</v>
      </c>
      <c r="J18" s="19" t="s">
        <v>220</v>
      </c>
    </row>
    <row r="19" spans="1:10" ht="34.5" customHeight="1" x14ac:dyDescent="0.2">
      <c r="A19" s="4"/>
      <c r="B19" s="4"/>
      <c r="C19" s="4" t="s">
        <v>117</v>
      </c>
      <c r="D19" s="15" t="s">
        <v>127</v>
      </c>
      <c r="E19" s="5">
        <v>4</v>
      </c>
      <c r="F19" s="60">
        <f>'INSTRUMEN INDIKATOR'!K139</f>
        <v>100</v>
      </c>
      <c r="G19" s="5">
        <f t="shared" si="2"/>
        <v>4</v>
      </c>
      <c r="H19" s="5">
        <f t="shared" si="3"/>
        <v>100</v>
      </c>
      <c r="I19" s="66" t="s">
        <v>157</v>
      </c>
      <c r="J19" s="19" t="s">
        <v>221</v>
      </c>
    </row>
    <row r="20" spans="1:10" ht="34.5" customHeight="1" x14ac:dyDescent="0.2">
      <c r="A20" s="37"/>
      <c r="B20" s="37" t="s">
        <v>138</v>
      </c>
      <c r="C20" s="38" t="s">
        <v>139</v>
      </c>
      <c r="D20" s="39"/>
      <c r="E20" s="40">
        <f>SUM(E21:E22)</f>
        <v>5</v>
      </c>
      <c r="F20" s="61"/>
      <c r="G20" s="40">
        <f>SUM(G21:G22)</f>
        <v>5</v>
      </c>
      <c r="H20" s="40">
        <f>G20/E20*100</f>
        <v>100</v>
      </c>
      <c r="I20" s="70"/>
      <c r="J20" s="20"/>
    </row>
    <row r="21" spans="1:10" ht="34.5" customHeight="1" x14ac:dyDescent="0.2">
      <c r="A21" s="4"/>
      <c r="B21" s="4"/>
      <c r="C21" s="4" t="s">
        <v>11</v>
      </c>
      <c r="D21" s="44" t="s">
        <v>140</v>
      </c>
      <c r="E21" s="5">
        <v>2</v>
      </c>
      <c r="F21" s="60">
        <f>'INSTRUMEN INDIKATOR'!K146</f>
        <v>100</v>
      </c>
      <c r="G21" s="5">
        <f t="shared" ref="G21:G22" si="4">F21*E21%</f>
        <v>2</v>
      </c>
      <c r="H21" s="5">
        <f>G21/E21*100</f>
        <v>100</v>
      </c>
      <c r="I21" s="7" t="s">
        <v>141</v>
      </c>
      <c r="J21" s="19" t="s">
        <v>216</v>
      </c>
    </row>
    <row r="22" spans="1:10" ht="34.5" customHeight="1" x14ac:dyDescent="0.2">
      <c r="A22" s="4"/>
      <c r="B22" s="4"/>
      <c r="C22" s="4" t="s">
        <v>81</v>
      </c>
      <c r="D22" s="15" t="s">
        <v>143</v>
      </c>
      <c r="E22" s="5">
        <v>3</v>
      </c>
      <c r="F22" s="60">
        <f>'INSTRUMEN INDIKATOR'!K149</f>
        <v>100</v>
      </c>
      <c r="G22" s="5">
        <f t="shared" si="4"/>
        <v>3</v>
      </c>
      <c r="H22" s="5">
        <f t="shared" ref="H22" si="5">G22/E22*100</f>
        <v>100</v>
      </c>
      <c r="I22" s="69" t="s">
        <v>144</v>
      </c>
      <c r="J22" s="19" t="s">
        <v>216</v>
      </c>
    </row>
    <row r="23" spans="1:10" ht="34.5" customHeight="1" x14ac:dyDescent="0.2">
      <c r="A23" s="46" t="s">
        <v>145</v>
      </c>
      <c r="B23" s="47" t="s">
        <v>146</v>
      </c>
      <c r="C23" s="48"/>
      <c r="D23" s="49"/>
      <c r="E23" s="50">
        <f>E24+E27</f>
        <v>35</v>
      </c>
      <c r="F23" s="62"/>
      <c r="G23" s="50">
        <f>G24+G27</f>
        <v>35</v>
      </c>
      <c r="H23" s="243">
        <f t="shared" ref="H23:H31" si="6">G23/E23*100</f>
        <v>100</v>
      </c>
      <c r="I23" s="71"/>
      <c r="J23" s="51"/>
    </row>
    <row r="24" spans="1:10" ht="34.5" customHeight="1" x14ac:dyDescent="0.2">
      <c r="A24" s="52"/>
      <c r="B24" s="52" t="s">
        <v>9</v>
      </c>
      <c r="C24" s="53" t="s">
        <v>147</v>
      </c>
      <c r="D24" s="54"/>
      <c r="E24" s="55">
        <f>SUM(E25:E26)</f>
        <v>5</v>
      </c>
      <c r="F24" s="63"/>
      <c r="G24" s="55">
        <f>SUM(G25:G26)</f>
        <v>5</v>
      </c>
      <c r="H24" s="244">
        <f t="shared" si="6"/>
        <v>100</v>
      </c>
      <c r="I24" s="72"/>
      <c r="J24" s="56"/>
    </row>
    <row r="25" spans="1:10" ht="42" x14ac:dyDescent="0.2">
      <c r="A25" s="9"/>
      <c r="B25" s="9"/>
      <c r="C25" s="9" t="s">
        <v>11</v>
      </c>
      <c r="D25" s="57" t="s">
        <v>148</v>
      </c>
      <c r="E25" s="10">
        <v>2</v>
      </c>
      <c r="F25" s="64">
        <f>'INSTRUMEN INDIKATOR'!K154</f>
        <v>100</v>
      </c>
      <c r="G25" s="10">
        <f>F25*E25%</f>
        <v>2</v>
      </c>
      <c r="H25" s="245">
        <f t="shared" si="6"/>
        <v>100</v>
      </c>
      <c r="I25" s="73" t="s">
        <v>230</v>
      </c>
      <c r="J25" s="21" t="s">
        <v>216</v>
      </c>
    </row>
    <row r="26" spans="1:10" ht="34.5" customHeight="1" x14ac:dyDescent="0.2">
      <c r="A26" s="9"/>
      <c r="B26" s="9"/>
      <c r="C26" s="9" t="s">
        <v>81</v>
      </c>
      <c r="D26" s="57" t="s">
        <v>149</v>
      </c>
      <c r="E26" s="10">
        <v>3</v>
      </c>
      <c r="F26" s="64">
        <f>'INSTRUMEN INDIKATOR'!K157</f>
        <v>100</v>
      </c>
      <c r="G26" s="10">
        <f>F26*E26%</f>
        <v>3</v>
      </c>
      <c r="H26" s="245">
        <f t="shared" si="6"/>
        <v>100</v>
      </c>
      <c r="I26" s="74" t="s">
        <v>150</v>
      </c>
      <c r="J26" s="22" t="s">
        <v>216</v>
      </c>
    </row>
    <row r="27" spans="1:10" ht="34.5" customHeight="1" x14ac:dyDescent="0.2">
      <c r="A27" s="52"/>
      <c r="B27" s="52" t="s">
        <v>89</v>
      </c>
      <c r="C27" s="53" t="s">
        <v>151</v>
      </c>
      <c r="D27" s="54"/>
      <c r="E27" s="55">
        <f>SUM(E28:E30)</f>
        <v>30</v>
      </c>
      <c r="F27" s="63"/>
      <c r="G27" s="55">
        <f>SUM(G28:G30)</f>
        <v>30</v>
      </c>
      <c r="H27" s="244">
        <f t="shared" si="6"/>
        <v>100</v>
      </c>
      <c r="I27" s="72"/>
      <c r="J27" s="56"/>
    </row>
    <row r="28" spans="1:10" ht="54.5" customHeight="1" x14ac:dyDescent="0.2">
      <c r="A28" s="9"/>
      <c r="B28" s="9"/>
      <c r="C28" s="9" t="s">
        <v>11</v>
      </c>
      <c r="D28" s="57" t="s">
        <v>152</v>
      </c>
      <c r="E28" s="10">
        <v>10</v>
      </c>
      <c r="F28" s="64">
        <f>'INSTRUMEN INDIKATOR'!K161</f>
        <v>100</v>
      </c>
      <c r="G28" s="10">
        <f t="shared" ref="G28:G30" si="7">F28*E28%</f>
        <v>10</v>
      </c>
      <c r="H28" s="245">
        <f t="shared" si="6"/>
        <v>100</v>
      </c>
      <c r="I28" s="26" t="s">
        <v>159</v>
      </c>
      <c r="J28" s="22" t="s">
        <v>223</v>
      </c>
    </row>
    <row r="29" spans="1:10" ht="74.5" customHeight="1" x14ac:dyDescent="0.2">
      <c r="A29" s="9"/>
      <c r="B29" s="9"/>
      <c r="C29" s="9" t="s">
        <v>81</v>
      </c>
      <c r="D29" s="57" t="s">
        <v>153</v>
      </c>
      <c r="E29" s="10">
        <v>10</v>
      </c>
      <c r="F29" s="64">
        <f>'INSTRUMEN INDIKATOR'!K164</f>
        <v>100</v>
      </c>
      <c r="G29" s="10">
        <f t="shared" si="7"/>
        <v>10</v>
      </c>
      <c r="H29" s="245">
        <f t="shared" si="6"/>
        <v>100</v>
      </c>
      <c r="I29" s="26" t="s">
        <v>231</v>
      </c>
      <c r="J29" s="23" t="s">
        <v>222</v>
      </c>
    </row>
    <row r="30" spans="1:10" ht="56" x14ac:dyDescent="0.2">
      <c r="A30" s="9"/>
      <c r="B30" s="9"/>
      <c r="C30" s="9" t="s">
        <v>92</v>
      </c>
      <c r="D30" s="57" t="s">
        <v>286</v>
      </c>
      <c r="E30" s="11">
        <v>10</v>
      </c>
      <c r="F30" s="64">
        <f>'INSTRUMEN INDIKATOR'!K167</f>
        <v>100</v>
      </c>
      <c r="G30" s="10">
        <f t="shared" si="7"/>
        <v>10</v>
      </c>
      <c r="H30" s="245">
        <f t="shared" si="6"/>
        <v>100</v>
      </c>
      <c r="I30" s="26" t="s">
        <v>232</v>
      </c>
      <c r="J30" s="24" t="s">
        <v>222</v>
      </c>
    </row>
    <row r="31" spans="1:10" ht="34.5" customHeight="1" x14ac:dyDescent="0.2">
      <c r="A31" s="331" t="s">
        <v>154</v>
      </c>
      <c r="B31" s="332"/>
      <c r="C31" s="332"/>
      <c r="D31" s="333"/>
      <c r="E31" s="58">
        <f>E3+E23</f>
        <v>100</v>
      </c>
      <c r="F31" s="65"/>
      <c r="G31" s="58">
        <f>G3+G23</f>
        <v>100</v>
      </c>
      <c r="H31" s="246">
        <f t="shared" si="6"/>
        <v>100</v>
      </c>
      <c r="I31" s="75"/>
      <c r="J31" s="59"/>
    </row>
    <row r="32" spans="1:10" ht="34.5" customHeight="1" x14ac:dyDescent="0.2">
      <c r="I32" s="25" t="s">
        <v>166</v>
      </c>
    </row>
  </sheetData>
  <mergeCells count="3">
    <mergeCell ref="A31:D31"/>
    <mergeCell ref="A1:D1"/>
    <mergeCell ref="A2:D2"/>
  </mergeCells>
  <printOptions horizontalCentered="1"/>
  <pageMargins left="0.31496062992125984" right="0.31496062992125984" top="0.55118110236220474" bottom="0.35433070866141736" header="0" footer="0"/>
  <pageSetup paperSize="5" scale="9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54624-7D1D-4C4F-90DA-A02CF9DD3761}">
  <dimension ref="A1:BT171"/>
  <sheetViews>
    <sheetView view="pageBreakPreview" zoomScale="80" zoomScaleNormal="40" zoomScaleSheetLayoutView="80" workbookViewId="0">
      <pane ySplit="2" topLeftCell="A59" activePane="bottomLeft" state="frozen"/>
      <selection pane="bottomLeft" activeCell="C69" sqref="C69:F69"/>
    </sheetView>
  </sheetViews>
  <sheetFormatPr baseColWidth="10" defaultColWidth="8.6640625" defaultRowHeight="15" x14ac:dyDescent="0.2"/>
  <cols>
    <col min="1" max="5" width="4.5" style="2" customWidth="1"/>
    <col min="6" max="6" width="50.6640625" style="160" customWidth="1"/>
    <col min="7" max="7" width="10.1640625" style="2" customWidth="1"/>
    <col min="8" max="8" width="57" style="161" customWidth="1"/>
    <col min="9" max="9" width="12.83203125" style="160" customWidth="1"/>
    <col min="10" max="10" width="10.5" style="87" customWidth="1"/>
    <col min="11" max="11" width="7.6640625" style="87" customWidth="1"/>
    <col min="12" max="12" width="43.5" style="160" customWidth="1"/>
    <col min="13" max="13" width="22.83203125" style="160" customWidth="1"/>
    <col min="14" max="16384" width="8.6640625" style="87"/>
  </cols>
  <sheetData>
    <row r="1" spans="1:13" s="1" customFormat="1" ht="32" x14ac:dyDescent="0.2">
      <c r="A1" s="385" t="s">
        <v>0</v>
      </c>
      <c r="B1" s="386"/>
      <c r="C1" s="386"/>
      <c r="D1" s="386"/>
      <c r="E1" s="386"/>
      <c r="F1" s="387"/>
      <c r="G1" s="13" t="s">
        <v>1</v>
      </c>
      <c r="H1" s="13" t="s">
        <v>2</v>
      </c>
      <c r="I1" s="13" t="s">
        <v>3</v>
      </c>
      <c r="J1" s="13" t="s">
        <v>4</v>
      </c>
      <c r="K1" s="13" t="s">
        <v>5</v>
      </c>
      <c r="L1" s="13" t="s">
        <v>6</v>
      </c>
      <c r="M1" s="13" t="s">
        <v>155</v>
      </c>
    </row>
    <row r="2" spans="1:13" s="2" customFormat="1" x14ac:dyDescent="0.2">
      <c r="A2" s="388">
        <v>1</v>
      </c>
      <c r="B2" s="389"/>
      <c r="C2" s="389"/>
      <c r="D2" s="389"/>
      <c r="E2" s="389"/>
      <c r="F2" s="390"/>
      <c r="G2" s="14">
        <v>2</v>
      </c>
      <c r="H2" s="13">
        <v>3</v>
      </c>
      <c r="I2" s="13">
        <v>4</v>
      </c>
      <c r="J2" s="14">
        <v>5</v>
      </c>
      <c r="K2" s="14">
        <v>6</v>
      </c>
      <c r="L2" s="13">
        <v>7</v>
      </c>
      <c r="M2" s="13">
        <v>8</v>
      </c>
    </row>
    <row r="3" spans="1:13" s="81" customFormat="1" x14ac:dyDescent="0.2">
      <c r="A3" s="77" t="s">
        <v>7</v>
      </c>
      <c r="B3" s="391" t="s">
        <v>8</v>
      </c>
      <c r="C3" s="392"/>
      <c r="D3" s="392"/>
      <c r="E3" s="392"/>
      <c r="F3" s="392"/>
      <c r="G3" s="78">
        <f>AVERAGE(G4,G69,G145)</f>
        <v>100</v>
      </c>
      <c r="H3" s="79"/>
      <c r="I3" s="247"/>
      <c r="J3" s="78"/>
      <c r="K3" s="78">
        <f>AVERAGE(K4,K69,K145)</f>
        <v>100</v>
      </c>
      <c r="L3" s="314"/>
      <c r="M3" s="80"/>
    </row>
    <row r="4" spans="1:13" x14ac:dyDescent="0.2">
      <c r="A4" s="82"/>
      <c r="B4" s="82" t="s">
        <v>9</v>
      </c>
      <c r="C4" s="162" t="s">
        <v>10</v>
      </c>
      <c r="D4" s="187"/>
      <c r="E4" s="163"/>
      <c r="F4" s="249"/>
      <c r="G4" s="83">
        <f>AVERAGE(G5,G42,G48,G51,G55,G60,G63,G66)</f>
        <v>100</v>
      </c>
      <c r="H4" s="84"/>
      <c r="I4" s="86"/>
      <c r="J4" s="85"/>
      <c r="K4" s="83">
        <f>AVERAGE(K5,K42,K48,K51,K55,K60,K63,K66)</f>
        <v>100</v>
      </c>
      <c r="L4" s="86"/>
      <c r="M4" s="86"/>
    </row>
    <row r="5" spans="1:13" s="105" customFormat="1" ht="16" x14ac:dyDescent="0.2">
      <c r="A5" s="121"/>
      <c r="B5" s="121"/>
      <c r="C5" s="121" t="s">
        <v>11</v>
      </c>
      <c r="D5" s="352" t="s">
        <v>12</v>
      </c>
      <c r="E5" s="353"/>
      <c r="F5" s="353"/>
      <c r="G5" s="122">
        <f>G6+G22+G37</f>
        <v>100</v>
      </c>
      <c r="H5" s="128" t="s">
        <v>13</v>
      </c>
      <c r="I5" s="251"/>
      <c r="J5" s="208"/>
      <c r="K5" s="122">
        <f>K6+K22+K37</f>
        <v>100</v>
      </c>
      <c r="L5" s="267"/>
      <c r="M5" s="130"/>
    </row>
    <row r="6" spans="1:13" s="81" customFormat="1" x14ac:dyDescent="0.2">
      <c r="A6" s="88"/>
      <c r="B6" s="88"/>
      <c r="C6" s="94"/>
      <c r="D6" s="94" t="s">
        <v>244</v>
      </c>
      <c r="E6" s="393" t="s">
        <v>16</v>
      </c>
      <c r="F6" s="394"/>
      <c r="G6" s="89">
        <v>50</v>
      </c>
      <c r="H6" s="90"/>
      <c r="I6" s="91"/>
      <c r="J6" s="164"/>
      <c r="K6" s="89">
        <f>AVERAGE(K7:K21)*G6%</f>
        <v>50</v>
      </c>
      <c r="L6" s="99"/>
      <c r="M6" s="99"/>
    </row>
    <row r="7" spans="1:13" ht="288" x14ac:dyDescent="0.2">
      <c r="A7" s="88"/>
      <c r="B7" s="88"/>
      <c r="C7" s="95"/>
      <c r="D7" s="95"/>
      <c r="E7" s="96" t="s">
        <v>17</v>
      </c>
      <c r="F7" s="291" t="s">
        <v>173</v>
      </c>
      <c r="G7" s="97"/>
      <c r="H7" s="292" t="s">
        <v>198</v>
      </c>
      <c r="I7" s="293" t="s">
        <v>108</v>
      </c>
      <c r="J7" s="294" t="s">
        <v>69</v>
      </c>
      <c r="K7" s="295">
        <f>IF(I7="A/B/C/D",IF(J7="A",100,IF(J7="B",65,IF(J7="C",35,IF(J7="D",0,"Blm Diisi")))))</f>
        <v>100</v>
      </c>
      <c r="L7" s="292" t="s">
        <v>292</v>
      </c>
      <c r="M7" s="99" t="s">
        <v>15</v>
      </c>
    </row>
    <row r="8" spans="1:13" ht="48" x14ac:dyDescent="0.2">
      <c r="A8" s="88"/>
      <c r="B8" s="88"/>
      <c r="C8" s="95"/>
      <c r="D8" s="95"/>
      <c r="E8" s="96" t="s">
        <v>21</v>
      </c>
      <c r="F8" s="291" t="s">
        <v>174</v>
      </c>
      <c r="G8" s="97"/>
      <c r="H8" s="292" t="s">
        <v>175</v>
      </c>
      <c r="I8" s="100" t="s">
        <v>19</v>
      </c>
      <c r="J8" s="97" t="s">
        <v>20</v>
      </c>
      <c r="K8" s="97">
        <f>IF(I8="Ya/Tidak",IF(J8="Ya",100,IF(J8="Tidak",0,"Blm Diisi")))</f>
        <v>100</v>
      </c>
      <c r="L8" s="291" t="s">
        <v>293</v>
      </c>
      <c r="M8" s="99" t="s">
        <v>15</v>
      </c>
    </row>
    <row r="9" spans="1:13" ht="96" x14ac:dyDescent="0.2">
      <c r="A9" s="88"/>
      <c r="B9" s="88"/>
      <c r="C9" s="95"/>
      <c r="D9" s="95"/>
      <c r="E9" s="96" t="s">
        <v>23</v>
      </c>
      <c r="F9" s="296" t="s">
        <v>18</v>
      </c>
      <c r="G9" s="97"/>
      <c r="H9" s="292" t="s">
        <v>207</v>
      </c>
      <c r="I9" s="293" t="s">
        <v>108</v>
      </c>
      <c r="J9" s="294" t="s">
        <v>69</v>
      </c>
      <c r="K9" s="295">
        <f t="shared" ref="K9:K11" si="0">IF(I9="A/B/C/D",IF(J9="A",100,IF(J9="B",65,IF(J9="C",35,IF(J9="D",0,"Blm Diisi")))))</f>
        <v>100</v>
      </c>
      <c r="L9" s="291" t="s">
        <v>294</v>
      </c>
      <c r="M9" s="99" t="s">
        <v>15</v>
      </c>
    </row>
    <row r="10" spans="1:13" ht="112" x14ac:dyDescent="0.2">
      <c r="A10" s="88"/>
      <c r="B10" s="88"/>
      <c r="C10" s="95"/>
      <c r="D10" s="95"/>
      <c r="E10" s="96" t="s">
        <v>24</v>
      </c>
      <c r="F10" s="291" t="s">
        <v>176</v>
      </c>
      <c r="G10" s="97"/>
      <c r="H10" s="292" t="s">
        <v>206</v>
      </c>
      <c r="I10" s="293" t="s">
        <v>108</v>
      </c>
      <c r="J10" s="294" t="s">
        <v>69</v>
      </c>
      <c r="K10" s="295">
        <f t="shared" si="0"/>
        <v>100</v>
      </c>
      <c r="L10" s="291" t="s">
        <v>295</v>
      </c>
      <c r="M10" s="99" t="s">
        <v>15</v>
      </c>
    </row>
    <row r="11" spans="1:13" ht="128" x14ac:dyDescent="0.2">
      <c r="A11" s="88"/>
      <c r="B11" s="88"/>
      <c r="C11" s="95"/>
      <c r="D11" s="95"/>
      <c r="E11" s="96" t="s">
        <v>26</v>
      </c>
      <c r="F11" s="291" t="s">
        <v>22</v>
      </c>
      <c r="G11" s="97"/>
      <c r="H11" s="292" t="s">
        <v>236</v>
      </c>
      <c r="I11" s="293" t="s">
        <v>108</v>
      </c>
      <c r="J11" s="294" t="s">
        <v>69</v>
      </c>
      <c r="K11" s="295">
        <f t="shared" si="0"/>
        <v>100</v>
      </c>
      <c r="L11" s="291" t="s">
        <v>465</v>
      </c>
      <c r="M11" s="99" t="s">
        <v>15</v>
      </c>
    </row>
    <row r="12" spans="1:13" ht="48" x14ac:dyDescent="0.2">
      <c r="A12" s="88"/>
      <c r="B12" s="88"/>
      <c r="C12" s="95"/>
      <c r="D12" s="95"/>
      <c r="E12" s="96" t="s">
        <v>28</v>
      </c>
      <c r="F12" s="291" t="s">
        <v>177</v>
      </c>
      <c r="G12" s="97"/>
      <c r="H12" s="292" t="s">
        <v>178</v>
      </c>
      <c r="I12" s="100" t="s">
        <v>19</v>
      </c>
      <c r="J12" s="97" t="s">
        <v>20</v>
      </c>
      <c r="K12" s="97">
        <f t="shared" ref="K12:K21" si="1">IF(I12="Ya/Tidak",IF(J12="Ya",100,IF(J12="Tidak",0,"Blm Diisi")))</f>
        <v>100</v>
      </c>
      <c r="L12" s="291" t="s">
        <v>296</v>
      </c>
      <c r="M12" s="99" t="s">
        <v>15</v>
      </c>
    </row>
    <row r="13" spans="1:13" ht="48" x14ac:dyDescent="0.2">
      <c r="A13" s="88"/>
      <c r="B13" s="88"/>
      <c r="C13" s="95"/>
      <c r="D13" s="95"/>
      <c r="E13" s="96" t="s">
        <v>29</v>
      </c>
      <c r="F13" s="291" t="s">
        <v>25</v>
      </c>
      <c r="G13" s="97"/>
      <c r="H13" s="292" t="s">
        <v>179</v>
      </c>
      <c r="I13" s="100" t="s">
        <v>19</v>
      </c>
      <c r="J13" s="97" t="s">
        <v>20</v>
      </c>
      <c r="K13" s="97">
        <f t="shared" si="1"/>
        <v>100</v>
      </c>
      <c r="L13" s="291" t="s">
        <v>297</v>
      </c>
      <c r="M13" s="99" t="s">
        <v>15</v>
      </c>
    </row>
    <row r="14" spans="1:13" ht="48" x14ac:dyDescent="0.2">
      <c r="A14" s="88"/>
      <c r="B14" s="88"/>
      <c r="C14" s="95"/>
      <c r="D14" s="95"/>
      <c r="E14" s="96" t="s">
        <v>32</v>
      </c>
      <c r="F14" s="291" t="s">
        <v>27</v>
      </c>
      <c r="G14" s="97"/>
      <c r="H14" s="292" t="s">
        <v>180</v>
      </c>
      <c r="I14" s="100" t="s">
        <v>19</v>
      </c>
      <c r="J14" s="97" t="s">
        <v>20</v>
      </c>
      <c r="K14" s="97">
        <f t="shared" si="1"/>
        <v>100</v>
      </c>
      <c r="L14" s="291" t="s">
        <v>298</v>
      </c>
      <c r="M14" s="99" t="s">
        <v>15</v>
      </c>
    </row>
    <row r="15" spans="1:13" ht="64" x14ac:dyDescent="0.2">
      <c r="A15" s="88"/>
      <c r="B15" s="88"/>
      <c r="C15" s="95"/>
      <c r="D15" s="95"/>
      <c r="E15" s="96" t="s">
        <v>33</v>
      </c>
      <c r="F15" s="291" t="s">
        <v>181</v>
      </c>
      <c r="G15" s="97"/>
      <c r="H15" s="292" t="s">
        <v>182</v>
      </c>
      <c r="I15" s="100" t="s">
        <v>19</v>
      </c>
      <c r="J15" s="97" t="s">
        <v>20</v>
      </c>
      <c r="K15" s="97">
        <f t="shared" si="1"/>
        <v>100</v>
      </c>
      <c r="L15" s="291" t="s">
        <v>299</v>
      </c>
      <c r="M15" s="99" t="s">
        <v>15</v>
      </c>
    </row>
    <row r="16" spans="1:13" ht="32" x14ac:dyDescent="0.2">
      <c r="A16" s="88"/>
      <c r="B16" s="88"/>
      <c r="C16" s="95"/>
      <c r="D16" s="95"/>
      <c r="E16" s="96" t="s">
        <v>34</v>
      </c>
      <c r="F16" s="291" t="s">
        <v>30</v>
      </c>
      <c r="G16" s="97"/>
      <c r="H16" s="292" t="s">
        <v>31</v>
      </c>
      <c r="I16" s="100" t="s">
        <v>19</v>
      </c>
      <c r="J16" s="97" t="s">
        <v>20</v>
      </c>
      <c r="K16" s="97">
        <f t="shared" si="1"/>
        <v>100</v>
      </c>
      <c r="L16" s="291" t="s">
        <v>300</v>
      </c>
      <c r="M16" s="99" t="s">
        <v>15</v>
      </c>
    </row>
    <row r="17" spans="1:72" ht="32" x14ac:dyDescent="0.2">
      <c r="A17" s="88"/>
      <c r="B17" s="88"/>
      <c r="C17" s="95"/>
      <c r="D17" s="95"/>
      <c r="E17" s="96" t="s">
        <v>37</v>
      </c>
      <c r="F17" s="291" t="s">
        <v>237</v>
      </c>
      <c r="G17" s="97"/>
      <c r="H17" s="292" t="s">
        <v>238</v>
      </c>
      <c r="I17" s="100" t="s">
        <v>19</v>
      </c>
      <c r="J17" s="97" t="s">
        <v>20</v>
      </c>
      <c r="K17" s="97">
        <f t="shared" si="1"/>
        <v>100</v>
      </c>
      <c r="L17" s="291" t="s">
        <v>301</v>
      </c>
      <c r="M17" s="99" t="s">
        <v>15</v>
      </c>
    </row>
    <row r="18" spans="1:72" ht="32" x14ac:dyDescent="0.2">
      <c r="A18" s="88"/>
      <c r="B18" s="88"/>
      <c r="C18" s="95"/>
      <c r="D18" s="95"/>
      <c r="E18" s="297" t="s">
        <v>183</v>
      </c>
      <c r="F18" s="298" t="s">
        <v>302</v>
      </c>
      <c r="G18" s="175"/>
      <c r="H18" s="299" t="s">
        <v>303</v>
      </c>
      <c r="I18" s="137" t="s">
        <v>19</v>
      </c>
      <c r="J18" s="175" t="s">
        <v>20</v>
      </c>
      <c r="K18" s="175">
        <f t="shared" si="1"/>
        <v>100</v>
      </c>
      <c r="L18" s="298" t="s">
        <v>304</v>
      </c>
      <c r="M18" s="99" t="s">
        <v>15</v>
      </c>
    </row>
    <row r="19" spans="1:72" ht="64" x14ac:dyDescent="0.2">
      <c r="A19" s="88"/>
      <c r="B19" s="88"/>
      <c r="C19" s="95"/>
      <c r="D19" s="95"/>
      <c r="E19" s="96" t="s">
        <v>52</v>
      </c>
      <c r="F19" s="291" t="s">
        <v>184</v>
      </c>
      <c r="G19" s="97"/>
      <c r="H19" s="292" t="s">
        <v>305</v>
      </c>
      <c r="I19" s="100" t="s">
        <v>19</v>
      </c>
      <c r="J19" s="97" t="s">
        <v>20</v>
      </c>
      <c r="K19" s="97">
        <f t="shared" si="1"/>
        <v>100</v>
      </c>
      <c r="L19" s="291" t="s">
        <v>306</v>
      </c>
      <c r="M19" s="99" t="s">
        <v>15</v>
      </c>
    </row>
    <row r="20" spans="1:72" ht="32" x14ac:dyDescent="0.2">
      <c r="A20" s="88"/>
      <c r="B20" s="88"/>
      <c r="C20" s="95"/>
      <c r="D20" s="95"/>
      <c r="E20" s="96" t="s">
        <v>54</v>
      </c>
      <c r="F20" s="291" t="s">
        <v>35</v>
      </c>
      <c r="G20" s="97"/>
      <c r="H20" s="292" t="s">
        <v>36</v>
      </c>
      <c r="I20" s="100" t="s">
        <v>19</v>
      </c>
      <c r="J20" s="97" t="s">
        <v>20</v>
      </c>
      <c r="K20" s="97">
        <f t="shared" si="1"/>
        <v>100</v>
      </c>
      <c r="L20" s="291" t="s">
        <v>307</v>
      </c>
      <c r="M20" s="99" t="s">
        <v>15</v>
      </c>
    </row>
    <row r="21" spans="1:72" ht="32" x14ac:dyDescent="0.2">
      <c r="A21" s="88"/>
      <c r="B21" s="88"/>
      <c r="C21" s="95"/>
      <c r="D21" s="95"/>
      <c r="E21" s="96" t="s">
        <v>308</v>
      </c>
      <c r="F21" s="291" t="s">
        <v>38</v>
      </c>
      <c r="G21" s="97"/>
      <c r="H21" s="292" t="s">
        <v>39</v>
      </c>
      <c r="I21" s="100" t="s">
        <v>19</v>
      </c>
      <c r="J21" s="97" t="s">
        <v>20</v>
      </c>
      <c r="K21" s="97">
        <f t="shared" si="1"/>
        <v>100</v>
      </c>
      <c r="L21" s="291" t="s">
        <v>309</v>
      </c>
      <c r="M21" s="99" t="s">
        <v>15</v>
      </c>
    </row>
    <row r="22" spans="1:72" s="93" customFormat="1" x14ac:dyDescent="0.2">
      <c r="A22" s="88"/>
      <c r="B22" s="88"/>
      <c r="C22" s="88"/>
      <c r="D22" s="94" t="s">
        <v>245</v>
      </c>
      <c r="E22" s="348" t="s">
        <v>40</v>
      </c>
      <c r="F22" s="349"/>
      <c r="G22" s="89">
        <v>30</v>
      </c>
      <c r="H22" s="90"/>
      <c r="I22" s="91"/>
      <c r="J22" s="164"/>
      <c r="K22" s="89">
        <f>AVERAGE(K23:K36)*G22%</f>
        <v>30</v>
      </c>
      <c r="L22" s="99"/>
      <c r="M22" s="99"/>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row>
    <row r="23" spans="1:72" ht="32" x14ac:dyDescent="0.2">
      <c r="A23" s="88"/>
      <c r="B23" s="88"/>
      <c r="C23" s="95"/>
      <c r="D23" s="95"/>
      <c r="E23" s="96" t="s">
        <v>17</v>
      </c>
      <c r="F23" s="291" t="s">
        <v>41</v>
      </c>
      <c r="G23" s="97"/>
      <c r="H23" s="292" t="s">
        <v>185</v>
      </c>
      <c r="I23" s="100" t="s">
        <v>19</v>
      </c>
      <c r="J23" s="97" t="s">
        <v>20</v>
      </c>
      <c r="K23" s="97">
        <f t="shared" ref="K23:K36" si="2">IF(I23="Ya/Tidak",IF(J23="Ya",100,IF(J23="Tidak",0,"Blm Diisi")))</f>
        <v>100</v>
      </c>
      <c r="L23" s="291" t="s">
        <v>314</v>
      </c>
      <c r="M23" s="99" t="s">
        <v>15</v>
      </c>
    </row>
    <row r="24" spans="1:72" ht="32" x14ac:dyDescent="0.2">
      <c r="A24" s="88"/>
      <c r="B24" s="88"/>
      <c r="C24" s="95"/>
      <c r="D24" s="95"/>
      <c r="E24" s="96" t="s">
        <v>21</v>
      </c>
      <c r="F24" s="291" t="s">
        <v>42</v>
      </c>
      <c r="G24" s="97"/>
      <c r="H24" s="292" t="s">
        <v>186</v>
      </c>
      <c r="I24" s="100" t="s">
        <v>19</v>
      </c>
      <c r="J24" s="97" t="s">
        <v>20</v>
      </c>
      <c r="K24" s="97">
        <f t="shared" si="2"/>
        <v>100</v>
      </c>
      <c r="L24" s="291" t="s">
        <v>315</v>
      </c>
      <c r="M24" s="99" t="s">
        <v>15</v>
      </c>
    </row>
    <row r="25" spans="1:72" ht="32" x14ac:dyDescent="0.2">
      <c r="A25" s="88"/>
      <c r="B25" s="88"/>
      <c r="C25" s="95"/>
      <c r="D25" s="95"/>
      <c r="E25" s="96" t="s">
        <v>23</v>
      </c>
      <c r="F25" s="291" t="s">
        <v>43</v>
      </c>
      <c r="G25" s="97"/>
      <c r="H25" s="292" t="s">
        <v>187</v>
      </c>
      <c r="I25" s="100" t="s">
        <v>19</v>
      </c>
      <c r="J25" s="97" t="s">
        <v>20</v>
      </c>
      <c r="K25" s="97">
        <f t="shared" si="2"/>
        <v>100</v>
      </c>
      <c r="L25" s="291" t="s">
        <v>316</v>
      </c>
      <c r="M25" s="99" t="s">
        <v>15</v>
      </c>
    </row>
    <row r="26" spans="1:72" ht="32" x14ac:dyDescent="0.2">
      <c r="A26" s="88"/>
      <c r="B26" s="88"/>
      <c r="C26" s="95"/>
      <c r="D26" s="95"/>
      <c r="E26" s="96" t="s">
        <v>24</v>
      </c>
      <c r="F26" s="291" t="s">
        <v>44</v>
      </c>
      <c r="G26" s="97"/>
      <c r="H26" s="292" t="s">
        <v>188</v>
      </c>
      <c r="I26" s="100" t="s">
        <v>19</v>
      </c>
      <c r="J26" s="97" t="s">
        <v>20</v>
      </c>
      <c r="K26" s="97">
        <f t="shared" si="2"/>
        <v>100</v>
      </c>
      <c r="L26" s="291" t="s">
        <v>317</v>
      </c>
      <c r="M26" s="99" t="s">
        <v>15</v>
      </c>
    </row>
    <row r="27" spans="1:72" ht="48" x14ac:dyDescent="0.2">
      <c r="A27" s="88"/>
      <c r="B27" s="88"/>
      <c r="C27" s="95"/>
      <c r="D27" s="95"/>
      <c r="E27" s="96" t="s">
        <v>26</v>
      </c>
      <c r="F27" s="291" t="s">
        <v>45</v>
      </c>
      <c r="G27" s="97"/>
      <c r="H27" s="292" t="s">
        <v>466</v>
      </c>
      <c r="I27" s="100" t="s">
        <v>19</v>
      </c>
      <c r="J27" s="97" t="s">
        <v>20</v>
      </c>
      <c r="K27" s="97">
        <f t="shared" si="2"/>
        <v>100</v>
      </c>
      <c r="L27" s="291" t="s">
        <v>467</v>
      </c>
      <c r="M27" s="99" t="s">
        <v>15</v>
      </c>
    </row>
    <row r="28" spans="1:72" ht="32" x14ac:dyDescent="0.2">
      <c r="A28" s="88"/>
      <c r="B28" s="88"/>
      <c r="C28" s="95"/>
      <c r="D28" s="95"/>
      <c r="E28" s="96" t="s">
        <v>28</v>
      </c>
      <c r="F28" s="291" t="s">
        <v>46</v>
      </c>
      <c r="G28" s="97"/>
      <c r="H28" s="292" t="s">
        <v>469</v>
      </c>
      <c r="I28" s="100" t="s">
        <v>19</v>
      </c>
      <c r="J28" s="97" t="s">
        <v>20</v>
      </c>
      <c r="K28" s="97">
        <f t="shared" si="2"/>
        <v>100</v>
      </c>
      <c r="L28" s="291" t="s">
        <v>468</v>
      </c>
      <c r="M28" s="99" t="s">
        <v>15</v>
      </c>
    </row>
    <row r="29" spans="1:72" ht="32" x14ac:dyDescent="0.2">
      <c r="A29" s="88"/>
      <c r="B29" s="88"/>
      <c r="C29" s="95"/>
      <c r="D29" s="95"/>
      <c r="E29" s="96" t="s">
        <v>29</v>
      </c>
      <c r="F29" s="291" t="s">
        <v>47</v>
      </c>
      <c r="G29" s="97"/>
      <c r="H29" s="292" t="s">
        <v>470</v>
      </c>
      <c r="I29" s="100" t="s">
        <v>19</v>
      </c>
      <c r="J29" s="97" t="s">
        <v>20</v>
      </c>
      <c r="K29" s="97">
        <f t="shared" si="2"/>
        <v>100</v>
      </c>
      <c r="L29" s="291" t="s">
        <v>318</v>
      </c>
      <c r="M29" s="99" t="s">
        <v>15</v>
      </c>
    </row>
    <row r="30" spans="1:72" ht="32" x14ac:dyDescent="0.2">
      <c r="A30" s="88"/>
      <c r="B30" s="88"/>
      <c r="C30" s="95"/>
      <c r="D30" s="95"/>
      <c r="E30" s="96" t="s">
        <v>32</v>
      </c>
      <c r="F30" s="291" t="s">
        <v>48</v>
      </c>
      <c r="G30" s="97"/>
      <c r="H30" s="292" t="s">
        <v>189</v>
      </c>
      <c r="I30" s="100" t="s">
        <v>19</v>
      </c>
      <c r="J30" s="97" t="s">
        <v>20</v>
      </c>
      <c r="K30" s="97">
        <f t="shared" si="2"/>
        <v>100</v>
      </c>
      <c r="L30" s="291" t="s">
        <v>319</v>
      </c>
      <c r="M30" s="99" t="s">
        <v>15</v>
      </c>
    </row>
    <row r="31" spans="1:72" ht="32" x14ac:dyDescent="0.2">
      <c r="A31" s="88"/>
      <c r="B31" s="88"/>
      <c r="C31" s="95"/>
      <c r="D31" s="95"/>
      <c r="E31" s="96" t="s">
        <v>33</v>
      </c>
      <c r="F31" s="291" t="s">
        <v>49</v>
      </c>
      <c r="G31" s="97"/>
      <c r="H31" s="292" t="s">
        <v>471</v>
      </c>
      <c r="I31" s="100" t="s">
        <v>19</v>
      </c>
      <c r="J31" s="97" t="s">
        <v>20</v>
      </c>
      <c r="K31" s="97">
        <f t="shared" si="2"/>
        <v>100</v>
      </c>
      <c r="L31" s="291" t="s">
        <v>320</v>
      </c>
      <c r="M31" s="99" t="s">
        <v>15</v>
      </c>
    </row>
    <row r="32" spans="1:72" ht="32" x14ac:dyDescent="0.2">
      <c r="A32" s="88"/>
      <c r="B32" s="88"/>
      <c r="C32" s="95"/>
      <c r="D32" s="95"/>
      <c r="E32" s="96" t="s">
        <v>34</v>
      </c>
      <c r="F32" s="291" t="s">
        <v>50</v>
      </c>
      <c r="G32" s="97"/>
      <c r="H32" s="292" t="s">
        <v>472</v>
      </c>
      <c r="I32" s="100" t="s">
        <v>19</v>
      </c>
      <c r="J32" s="97" t="s">
        <v>20</v>
      </c>
      <c r="K32" s="97">
        <f t="shared" si="2"/>
        <v>100</v>
      </c>
      <c r="L32" s="291" t="s">
        <v>473</v>
      </c>
      <c r="M32" s="99" t="s">
        <v>15</v>
      </c>
    </row>
    <row r="33" spans="1:72" ht="32" x14ac:dyDescent="0.2">
      <c r="A33" s="88"/>
      <c r="B33" s="88"/>
      <c r="C33" s="95"/>
      <c r="D33" s="95"/>
      <c r="E33" s="96" t="s">
        <v>37</v>
      </c>
      <c r="F33" s="291" t="s">
        <v>51</v>
      </c>
      <c r="G33" s="97"/>
      <c r="H33" s="292" t="s">
        <v>190</v>
      </c>
      <c r="I33" s="100" t="s">
        <v>19</v>
      </c>
      <c r="J33" s="97" t="s">
        <v>20</v>
      </c>
      <c r="K33" s="97">
        <f t="shared" si="2"/>
        <v>100</v>
      </c>
      <c r="L33" s="291" t="s">
        <v>321</v>
      </c>
      <c r="M33" s="99" t="s">
        <v>15</v>
      </c>
    </row>
    <row r="34" spans="1:72" ht="32" x14ac:dyDescent="0.2">
      <c r="A34" s="88"/>
      <c r="B34" s="88"/>
      <c r="C34" s="95"/>
      <c r="D34" s="95"/>
      <c r="E34" s="96" t="s">
        <v>183</v>
      </c>
      <c r="F34" s="291" t="s">
        <v>191</v>
      </c>
      <c r="G34" s="97"/>
      <c r="H34" s="292" t="s">
        <v>322</v>
      </c>
      <c r="I34" s="100" t="s">
        <v>19</v>
      </c>
      <c r="J34" s="97" t="s">
        <v>20</v>
      </c>
      <c r="K34" s="97">
        <f t="shared" si="2"/>
        <v>100</v>
      </c>
      <c r="L34" s="291" t="s">
        <v>323</v>
      </c>
      <c r="M34" s="99" t="s">
        <v>15</v>
      </c>
    </row>
    <row r="35" spans="1:72" ht="64" x14ac:dyDescent="0.2">
      <c r="A35" s="88"/>
      <c r="B35" s="88"/>
      <c r="C35" s="95"/>
      <c r="D35" s="95"/>
      <c r="E35" s="96" t="s">
        <v>52</v>
      </c>
      <c r="F35" s="291" t="s">
        <v>53</v>
      </c>
      <c r="G35" s="97"/>
      <c r="H35" s="292" t="s">
        <v>192</v>
      </c>
      <c r="I35" s="100" t="s">
        <v>19</v>
      </c>
      <c r="J35" s="97" t="s">
        <v>20</v>
      </c>
      <c r="K35" s="97">
        <f t="shared" si="2"/>
        <v>100</v>
      </c>
      <c r="L35" s="291" t="s">
        <v>324</v>
      </c>
      <c r="M35" s="99" t="s">
        <v>15</v>
      </c>
    </row>
    <row r="36" spans="1:72" ht="48" x14ac:dyDescent="0.2">
      <c r="A36" s="88"/>
      <c r="B36" s="88"/>
      <c r="C36" s="95"/>
      <c r="D36" s="95"/>
      <c r="E36" s="96" t="s">
        <v>54</v>
      </c>
      <c r="F36" s="300" t="s">
        <v>325</v>
      </c>
      <c r="G36" s="301"/>
      <c r="H36" s="302" t="s">
        <v>326</v>
      </c>
      <c r="I36" s="303" t="s">
        <v>19</v>
      </c>
      <c r="J36" s="301" t="s">
        <v>20</v>
      </c>
      <c r="K36" s="301">
        <f t="shared" si="2"/>
        <v>100</v>
      </c>
      <c r="L36" s="300" t="s">
        <v>327</v>
      </c>
      <c r="M36" s="99" t="s">
        <v>15</v>
      </c>
    </row>
    <row r="37" spans="1:72" x14ac:dyDescent="0.2">
      <c r="A37" s="88"/>
      <c r="B37" s="88"/>
      <c r="C37" s="193"/>
      <c r="D37" s="194" t="s">
        <v>246</v>
      </c>
      <c r="E37" s="399" t="s">
        <v>193</v>
      </c>
      <c r="F37" s="400"/>
      <c r="G37" s="196">
        <v>20</v>
      </c>
      <c r="H37" s="252"/>
      <c r="I37" s="252"/>
      <c r="J37" s="195"/>
      <c r="K37" s="196">
        <f>AVERAGE(K38:K41)*G37%</f>
        <v>20</v>
      </c>
      <c r="L37" s="99"/>
      <c r="M37" s="99"/>
    </row>
    <row r="38" spans="1:72" ht="64" x14ac:dyDescent="0.2">
      <c r="A38" s="88"/>
      <c r="B38" s="88"/>
      <c r="C38" s="193"/>
      <c r="D38" s="192"/>
      <c r="E38" s="96" t="s">
        <v>17</v>
      </c>
      <c r="F38" s="291" t="s">
        <v>194</v>
      </c>
      <c r="G38" s="304"/>
      <c r="H38" s="305" t="s">
        <v>239</v>
      </c>
      <c r="I38" s="306" t="s">
        <v>14</v>
      </c>
      <c r="J38" s="307">
        <v>100</v>
      </c>
      <c r="K38" s="308">
        <f t="shared" ref="K38:K40" si="3">J38</f>
        <v>100</v>
      </c>
      <c r="L38" s="291" t="s">
        <v>310</v>
      </c>
      <c r="M38" s="99" t="s">
        <v>15</v>
      </c>
    </row>
    <row r="39" spans="1:72" ht="64" x14ac:dyDescent="0.2">
      <c r="A39" s="88"/>
      <c r="B39" s="88"/>
      <c r="C39" s="193"/>
      <c r="D39" s="194"/>
      <c r="E39" s="96" t="s">
        <v>21</v>
      </c>
      <c r="F39" s="292" t="s">
        <v>195</v>
      </c>
      <c r="G39" s="304"/>
      <c r="H39" s="305" t="s">
        <v>240</v>
      </c>
      <c r="I39" s="306" t="s">
        <v>14</v>
      </c>
      <c r="J39" s="307">
        <v>100</v>
      </c>
      <c r="K39" s="308">
        <f t="shared" si="3"/>
        <v>100</v>
      </c>
      <c r="L39" s="309" t="s">
        <v>311</v>
      </c>
      <c r="M39" s="99" t="s">
        <v>15</v>
      </c>
    </row>
    <row r="40" spans="1:72" ht="48" x14ac:dyDescent="0.2">
      <c r="A40" s="88"/>
      <c r="B40" s="88"/>
      <c r="C40" s="193"/>
      <c r="D40" s="192"/>
      <c r="E40" s="96" t="s">
        <v>23</v>
      </c>
      <c r="F40" s="291" t="s">
        <v>196</v>
      </c>
      <c r="G40" s="304"/>
      <c r="H40" s="305" t="s">
        <v>241</v>
      </c>
      <c r="I40" s="306" t="s">
        <v>14</v>
      </c>
      <c r="J40" s="307">
        <v>100</v>
      </c>
      <c r="K40" s="308">
        <f t="shared" si="3"/>
        <v>100</v>
      </c>
      <c r="L40" s="309" t="s">
        <v>312</v>
      </c>
      <c r="M40" s="99" t="s">
        <v>15</v>
      </c>
    </row>
    <row r="41" spans="1:72" ht="96" x14ac:dyDescent="0.2">
      <c r="A41" s="88"/>
      <c r="B41" s="88"/>
      <c r="C41" s="193"/>
      <c r="D41" s="197"/>
      <c r="E41" s="307" t="s">
        <v>24</v>
      </c>
      <c r="F41" s="305" t="s">
        <v>197</v>
      </c>
      <c r="G41" s="304"/>
      <c r="H41" s="305" t="s">
        <v>242</v>
      </c>
      <c r="I41" s="101" t="s">
        <v>68</v>
      </c>
      <c r="J41" s="96" t="s">
        <v>69</v>
      </c>
      <c r="K41" s="308">
        <f>IF(J41="E",0,IF(J41="D",25,IF(J41="C",50, IF(J41="B",75,100))))</f>
        <v>100</v>
      </c>
      <c r="L41" s="309" t="s">
        <v>313</v>
      </c>
      <c r="M41" s="99" t="s">
        <v>15</v>
      </c>
    </row>
    <row r="42" spans="1:72" s="105" customFormat="1" ht="16" x14ac:dyDescent="0.2">
      <c r="A42" s="121"/>
      <c r="B42" s="121"/>
      <c r="C42" s="121" t="s">
        <v>81</v>
      </c>
      <c r="D42" s="407" t="s">
        <v>55</v>
      </c>
      <c r="E42" s="408"/>
      <c r="F42" s="409"/>
      <c r="G42" s="122">
        <f>G43</f>
        <v>100</v>
      </c>
      <c r="H42" s="123"/>
      <c r="I42" s="124"/>
      <c r="J42" s="122"/>
      <c r="K42" s="122">
        <f>K43</f>
        <v>100</v>
      </c>
      <c r="L42" s="253" t="s">
        <v>57</v>
      </c>
      <c r="M42" s="253"/>
    </row>
    <row r="43" spans="1:72" s="105" customFormat="1" x14ac:dyDescent="0.2">
      <c r="A43" s="88"/>
      <c r="B43" s="88"/>
      <c r="C43" s="88"/>
      <c r="D43" s="179" t="s">
        <v>247</v>
      </c>
      <c r="E43" s="401" t="s">
        <v>56</v>
      </c>
      <c r="F43" s="402"/>
      <c r="G43" s="89">
        <f>SUM(G44:G47)</f>
        <v>100</v>
      </c>
      <c r="H43" s="103"/>
      <c r="I43" s="102"/>
      <c r="J43" s="89"/>
      <c r="K43" s="89">
        <f>SUM(K44:K47)</f>
        <v>100</v>
      </c>
      <c r="L43" s="99"/>
      <c r="M43" s="104"/>
      <c r="N43" s="81"/>
      <c r="O43" s="81"/>
      <c r="P43" s="81"/>
      <c r="Q43" s="81"/>
      <c r="R43" s="81"/>
      <c r="S43" s="81"/>
      <c r="T43" s="81"/>
      <c r="U43" s="81"/>
      <c r="V43" s="81"/>
      <c r="W43" s="81"/>
      <c r="X43" s="81"/>
      <c r="Y43" s="81"/>
      <c r="Z43" s="81"/>
      <c r="AA43" s="81"/>
      <c r="AB43" s="81"/>
      <c r="AC43" s="81"/>
      <c r="AD43" s="81"/>
      <c r="AE43" s="81"/>
      <c r="AF43" s="81"/>
      <c r="AG43" s="81"/>
      <c r="AH43" s="81"/>
      <c r="AI43" s="81"/>
      <c r="AJ43" s="81"/>
      <c r="AK43" s="81"/>
      <c r="AL43" s="81"/>
      <c r="AM43" s="81"/>
      <c r="AN43" s="81"/>
      <c r="AO43" s="81"/>
      <c r="AP43" s="81"/>
      <c r="AQ43" s="81"/>
      <c r="AR43" s="81"/>
      <c r="AS43" s="81"/>
      <c r="AT43" s="81"/>
      <c r="AU43" s="81"/>
      <c r="AV43" s="81"/>
      <c r="AW43" s="81"/>
      <c r="AX43" s="81"/>
      <c r="AY43" s="81"/>
      <c r="AZ43" s="81"/>
      <c r="BA43" s="81"/>
      <c r="BB43" s="81"/>
      <c r="BC43" s="81"/>
      <c r="BD43" s="81"/>
      <c r="BE43" s="81"/>
      <c r="BF43" s="81"/>
      <c r="BG43" s="81"/>
      <c r="BH43" s="81"/>
      <c r="BI43" s="81"/>
      <c r="BJ43" s="81"/>
      <c r="BK43" s="81"/>
      <c r="BL43" s="81"/>
      <c r="BM43" s="81"/>
      <c r="BN43" s="81"/>
      <c r="BO43" s="81"/>
      <c r="BP43" s="81"/>
      <c r="BQ43" s="81"/>
      <c r="BR43" s="81"/>
      <c r="BS43" s="81"/>
      <c r="BT43" s="81"/>
    </row>
    <row r="44" spans="1:72" ht="16" x14ac:dyDescent="0.2">
      <c r="A44" s="88"/>
      <c r="B44" s="88"/>
      <c r="C44" s="95"/>
      <c r="D44" s="170"/>
      <c r="E44" s="192" t="s">
        <v>17</v>
      </c>
      <c r="F44" s="106" t="s">
        <v>58</v>
      </c>
      <c r="G44" s="107">
        <v>30</v>
      </c>
      <c r="H44" s="108" t="s">
        <v>59</v>
      </c>
      <c r="I44" s="109" t="s">
        <v>60</v>
      </c>
      <c r="J44" s="107">
        <v>30</v>
      </c>
      <c r="K44" s="195">
        <f t="shared" ref="K44:K47" si="4">J44</f>
        <v>30</v>
      </c>
      <c r="L44" s="339" t="s">
        <v>329</v>
      </c>
      <c r="M44" s="412" t="s">
        <v>75</v>
      </c>
    </row>
    <row r="45" spans="1:72" ht="16" x14ac:dyDescent="0.2">
      <c r="A45" s="88"/>
      <c r="B45" s="88"/>
      <c r="C45" s="95"/>
      <c r="D45" s="170"/>
      <c r="E45" s="192" t="s">
        <v>21</v>
      </c>
      <c r="F45" s="106" t="s">
        <v>61</v>
      </c>
      <c r="G45" s="107">
        <v>30</v>
      </c>
      <c r="H45" s="108" t="s">
        <v>62</v>
      </c>
      <c r="I45" s="109" t="s">
        <v>60</v>
      </c>
      <c r="J45" s="107">
        <v>30</v>
      </c>
      <c r="K45" s="195">
        <f t="shared" si="4"/>
        <v>30</v>
      </c>
      <c r="L45" s="339"/>
      <c r="M45" s="413"/>
    </row>
    <row r="46" spans="1:72" ht="16" x14ac:dyDescent="0.2">
      <c r="A46" s="88"/>
      <c r="B46" s="88"/>
      <c r="C46" s="95"/>
      <c r="D46" s="170"/>
      <c r="E46" s="192" t="s">
        <v>23</v>
      </c>
      <c r="F46" s="106" t="s">
        <v>63</v>
      </c>
      <c r="G46" s="107">
        <v>15</v>
      </c>
      <c r="H46" s="108" t="s">
        <v>64</v>
      </c>
      <c r="I46" s="109" t="s">
        <v>65</v>
      </c>
      <c r="J46" s="107">
        <v>15</v>
      </c>
      <c r="K46" s="195">
        <f t="shared" si="4"/>
        <v>15</v>
      </c>
      <c r="L46" s="339"/>
      <c r="M46" s="413"/>
    </row>
    <row r="47" spans="1:72" ht="16" x14ac:dyDescent="0.2">
      <c r="A47" s="88"/>
      <c r="B47" s="88"/>
      <c r="C47" s="95"/>
      <c r="D47" s="170"/>
      <c r="E47" s="192" t="s">
        <v>24</v>
      </c>
      <c r="F47" s="106" t="s">
        <v>171</v>
      </c>
      <c r="G47" s="107">
        <v>25</v>
      </c>
      <c r="H47" s="108" t="s">
        <v>172</v>
      </c>
      <c r="I47" s="109" t="s">
        <v>66</v>
      </c>
      <c r="J47" s="107">
        <v>25</v>
      </c>
      <c r="K47" s="195">
        <f t="shared" si="4"/>
        <v>25</v>
      </c>
      <c r="L47" s="340"/>
      <c r="M47" s="414"/>
    </row>
    <row r="48" spans="1:72" s="105" customFormat="1" x14ac:dyDescent="0.2">
      <c r="A48" s="121"/>
      <c r="B48" s="121"/>
      <c r="C48" s="121" t="s">
        <v>92</v>
      </c>
      <c r="D48" s="395" t="s">
        <v>67</v>
      </c>
      <c r="E48" s="396"/>
      <c r="F48" s="397"/>
      <c r="G48" s="122">
        <f>G49</f>
        <v>100</v>
      </c>
      <c r="H48" s="254"/>
      <c r="I48" s="255"/>
      <c r="J48" s="209"/>
      <c r="K48" s="122">
        <f>K49</f>
        <v>100</v>
      </c>
      <c r="L48" s="267"/>
      <c r="M48" s="130"/>
    </row>
    <row r="49" spans="1:72" s="105" customFormat="1" x14ac:dyDescent="0.2">
      <c r="A49" s="88"/>
      <c r="B49" s="88"/>
      <c r="C49" s="88"/>
      <c r="D49" s="88" t="s">
        <v>248</v>
      </c>
      <c r="E49" s="406" t="s">
        <v>250</v>
      </c>
      <c r="F49" s="402"/>
      <c r="G49" s="89">
        <f>G50</f>
        <v>100</v>
      </c>
      <c r="H49" s="256"/>
      <c r="I49" s="257"/>
      <c r="J49" s="171"/>
      <c r="K49" s="89">
        <f>K50</f>
        <v>100</v>
      </c>
      <c r="L49" s="99"/>
      <c r="M49" s="92"/>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row>
    <row r="50" spans="1:72" s="105" customFormat="1" ht="80" x14ac:dyDescent="0.2">
      <c r="A50" s="88"/>
      <c r="B50" s="88"/>
      <c r="C50" s="88"/>
      <c r="D50" s="88"/>
      <c r="E50" s="192" t="s">
        <v>17</v>
      </c>
      <c r="F50" s="106" t="s">
        <v>249</v>
      </c>
      <c r="G50" s="107">
        <v>100</v>
      </c>
      <c r="H50" s="180" t="s">
        <v>161</v>
      </c>
      <c r="I50" s="98" t="s">
        <v>68</v>
      </c>
      <c r="J50" s="167" t="s">
        <v>69</v>
      </c>
      <c r="K50" s="166">
        <f>IF(I50="A/B/C/D/E",IF(J50="A",100,IF(J50="B",75,IF(J50="C",50,IF(J50="D",25,IF(J50="E",0,"Blm Diisi"))))))</f>
        <v>100</v>
      </c>
      <c r="L50" s="99" t="s">
        <v>71</v>
      </c>
      <c r="M50" s="99" t="s">
        <v>70</v>
      </c>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c r="AZ50" s="81"/>
      <c r="BA50" s="81"/>
      <c r="BB50" s="81"/>
      <c r="BC50" s="81"/>
      <c r="BD50" s="81"/>
      <c r="BE50" s="81"/>
      <c r="BF50" s="81"/>
      <c r="BG50" s="81"/>
      <c r="BH50" s="81"/>
      <c r="BI50" s="81"/>
      <c r="BJ50" s="81"/>
      <c r="BK50" s="81"/>
      <c r="BL50" s="81"/>
      <c r="BM50" s="81"/>
      <c r="BN50" s="81"/>
      <c r="BO50" s="81"/>
      <c r="BP50" s="81"/>
      <c r="BQ50" s="81"/>
      <c r="BR50" s="81"/>
      <c r="BS50" s="81"/>
      <c r="BT50" s="81"/>
    </row>
    <row r="51" spans="1:72" s="211" customFormat="1" ht="16" x14ac:dyDescent="0.2">
      <c r="A51" s="121"/>
      <c r="B51" s="121"/>
      <c r="C51" s="201" t="s">
        <v>94</v>
      </c>
      <c r="D51" s="395" t="s">
        <v>72</v>
      </c>
      <c r="E51" s="396"/>
      <c r="F51" s="397"/>
      <c r="G51" s="210">
        <f>G52</f>
        <v>100</v>
      </c>
      <c r="H51" s="128" t="s">
        <v>73</v>
      </c>
      <c r="I51" s="258"/>
      <c r="J51" s="208"/>
      <c r="K51" s="210">
        <f>K52</f>
        <v>100</v>
      </c>
      <c r="L51" s="267"/>
      <c r="M51" s="130"/>
    </row>
    <row r="52" spans="1:72" ht="31.5" customHeight="1" x14ac:dyDescent="0.2">
      <c r="A52" s="88"/>
      <c r="B52" s="88"/>
      <c r="C52" s="94"/>
      <c r="D52" s="188" t="s">
        <v>251</v>
      </c>
      <c r="E52" s="403" t="s">
        <v>253</v>
      </c>
      <c r="F52" s="404"/>
      <c r="G52" s="111">
        <f>SUM(G53:G54)</f>
        <v>100</v>
      </c>
      <c r="H52" s="90"/>
      <c r="I52" s="109"/>
      <c r="J52" s="182"/>
      <c r="K52" s="111">
        <f>AVERAGE(K53:K54)</f>
        <v>100</v>
      </c>
      <c r="L52" s="99"/>
      <c r="M52" s="92"/>
    </row>
    <row r="53" spans="1:72" ht="48" x14ac:dyDescent="0.2">
      <c r="A53" s="88"/>
      <c r="B53" s="88"/>
      <c r="C53" s="110"/>
      <c r="D53" s="110"/>
      <c r="E53" s="110" t="s">
        <v>17</v>
      </c>
      <c r="F53" s="112" t="s">
        <v>252</v>
      </c>
      <c r="G53" s="107">
        <v>50</v>
      </c>
      <c r="H53" s="113" t="s">
        <v>76</v>
      </c>
      <c r="I53" s="109" t="s">
        <v>14</v>
      </c>
      <c r="J53" s="107">
        <v>100</v>
      </c>
      <c r="K53" s="107">
        <f t="shared" ref="K53:K54" si="5">IF(J53="","Blm diisi",J53)</f>
        <v>100</v>
      </c>
      <c r="L53" s="319" t="s">
        <v>330</v>
      </c>
      <c r="M53" s="138" t="s">
        <v>75</v>
      </c>
    </row>
    <row r="54" spans="1:72" ht="48" x14ac:dyDescent="0.2">
      <c r="A54" s="88"/>
      <c r="B54" s="88"/>
      <c r="C54" s="110"/>
      <c r="D54" s="110"/>
      <c r="E54" s="110" t="s">
        <v>21</v>
      </c>
      <c r="F54" s="112" t="s">
        <v>254</v>
      </c>
      <c r="G54" s="107">
        <v>50</v>
      </c>
      <c r="H54" s="113" t="s">
        <v>77</v>
      </c>
      <c r="I54" s="109" t="s">
        <v>14</v>
      </c>
      <c r="J54" s="107">
        <v>100</v>
      </c>
      <c r="K54" s="107">
        <f t="shared" si="5"/>
        <v>100</v>
      </c>
      <c r="L54" s="319" t="s">
        <v>331</v>
      </c>
      <c r="M54" s="138" t="s">
        <v>75</v>
      </c>
    </row>
    <row r="55" spans="1:72" s="211" customFormat="1" ht="16" x14ac:dyDescent="0.2">
      <c r="A55" s="121"/>
      <c r="B55" s="121"/>
      <c r="C55" s="212" t="s">
        <v>112</v>
      </c>
      <c r="D55" s="407" t="s">
        <v>264</v>
      </c>
      <c r="E55" s="408"/>
      <c r="F55" s="409"/>
      <c r="G55" s="210">
        <f>SUM(G56:G59)</f>
        <v>100</v>
      </c>
      <c r="H55" s="259" t="s">
        <v>79</v>
      </c>
      <c r="I55" s="289"/>
      <c r="J55" s="290"/>
      <c r="K55" s="210">
        <f>K56+K58</f>
        <v>100</v>
      </c>
      <c r="L55" s="327"/>
      <c r="M55" s="260"/>
    </row>
    <row r="56" spans="1:72" x14ac:dyDescent="0.2">
      <c r="A56" s="88"/>
      <c r="B56" s="88"/>
      <c r="C56" s="114"/>
      <c r="D56" s="179" t="s">
        <v>255</v>
      </c>
      <c r="E56" s="405" t="s">
        <v>289</v>
      </c>
      <c r="F56" s="405"/>
      <c r="G56" s="111">
        <v>50</v>
      </c>
      <c r="H56" s="115"/>
      <c r="I56" s="322"/>
      <c r="J56" s="326"/>
      <c r="K56" s="323">
        <f>K57*G56%</f>
        <v>50</v>
      </c>
      <c r="L56" s="104"/>
      <c r="M56" s="116"/>
    </row>
    <row r="57" spans="1:72" ht="80" x14ac:dyDescent="0.2">
      <c r="A57" s="88"/>
      <c r="B57" s="88"/>
      <c r="C57" s="95"/>
      <c r="D57" s="95"/>
      <c r="E57" s="95" t="s">
        <v>17</v>
      </c>
      <c r="F57" s="112" t="s">
        <v>328</v>
      </c>
      <c r="G57" s="107"/>
      <c r="H57" s="117" t="s">
        <v>362</v>
      </c>
      <c r="I57" s="322" t="s">
        <v>14</v>
      </c>
      <c r="J57" s="107">
        <v>100</v>
      </c>
      <c r="K57" s="324">
        <f>IF(J57="","Blm diisi",J57)</f>
        <v>100</v>
      </c>
      <c r="L57" s="319" t="s">
        <v>364</v>
      </c>
      <c r="M57" s="138" t="s">
        <v>80</v>
      </c>
    </row>
    <row r="58" spans="1:72" x14ac:dyDescent="0.2">
      <c r="A58" s="88"/>
      <c r="B58" s="88"/>
      <c r="C58" s="95"/>
      <c r="D58" s="179" t="s">
        <v>290</v>
      </c>
      <c r="E58" s="405" t="s">
        <v>291</v>
      </c>
      <c r="F58" s="405"/>
      <c r="G58" s="111">
        <v>50</v>
      </c>
      <c r="H58" s="115"/>
      <c r="I58" s="322"/>
      <c r="J58" s="326"/>
      <c r="K58" s="323">
        <f>K59*G58%</f>
        <v>50</v>
      </c>
      <c r="L58" s="99"/>
      <c r="M58" s="321"/>
    </row>
    <row r="59" spans="1:72" ht="80" x14ac:dyDescent="0.2">
      <c r="A59" s="88"/>
      <c r="B59" s="88"/>
      <c r="C59" s="95"/>
      <c r="D59" s="95"/>
      <c r="E59" s="95" t="s">
        <v>21</v>
      </c>
      <c r="F59" s="112" t="s">
        <v>360</v>
      </c>
      <c r="G59" s="288"/>
      <c r="H59" s="117" t="s">
        <v>361</v>
      </c>
      <c r="I59" s="109" t="s">
        <v>14</v>
      </c>
      <c r="J59" s="325">
        <v>100</v>
      </c>
      <c r="K59" s="107">
        <f t="shared" ref="K59" si="6">IF(J59="","Blm diisi",J59)</f>
        <v>100</v>
      </c>
      <c r="L59" s="99" t="s">
        <v>363</v>
      </c>
      <c r="M59" s="99" t="s">
        <v>80</v>
      </c>
    </row>
    <row r="60" spans="1:72" s="105" customFormat="1" x14ac:dyDescent="0.2">
      <c r="A60" s="213"/>
      <c r="B60" s="213"/>
      <c r="C60" s="213" t="s">
        <v>117</v>
      </c>
      <c r="D60" s="398" t="s">
        <v>82</v>
      </c>
      <c r="E60" s="398"/>
      <c r="F60" s="398"/>
      <c r="G60" s="214">
        <f>G61</f>
        <v>100</v>
      </c>
      <c r="H60" s="128"/>
      <c r="I60" s="124"/>
      <c r="J60" s="122"/>
      <c r="K60" s="214">
        <f>K61</f>
        <v>100</v>
      </c>
      <c r="L60" s="267"/>
      <c r="M60" s="130"/>
    </row>
    <row r="61" spans="1:72" s="93" customFormat="1" ht="32.5" customHeight="1" x14ac:dyDescent="0.2">
      <c r="A61" s="118"/>
      <c r="B61" s="118"/>
      <c r="C61" s="118"/>
      <c r="D61" s="118" t="s">
        <v>256</v>
      </c>
      <c r="E61" s="410" t="s">
        <v>257</v>
      </c>
      <c r="F61" s="411"/>
      <c r="G61" s="119">
        <v>100</v>
      </c>
      <c r="H61" s="90"/>
      <c r="I61" s="102"/>
      <c r="J61" s="89"/>
      <c r="K61" s="119">
        <f>K62</f>
        <v>100</v>
      </c>
      <c r="L61" s="99"/>
      <c r="M61" s="92"/>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c r="BP61" s="81"/>
      <c r="BQ61" s="81"/>
      <c r="BR61" s="81"/>
      <c r="BS61" s="81"/>
      <c r="BT61" s="81"/>
    </row>
    <row r="62" spans="1:72" s="136" customFormat="1" ht="48" x14ac:dyDescent="0.2">
      <c r="A62" s="183"/>
      <c r="B62" s="183"/>
      <c r="C62" s="183"/>
      <c r="D62" s="183"/>
      <c r="E62" s="95" t="s">
        <v>17</v>
      </c>
      <c r="F62" s="113" t="s">
        <v>83</v>
      </c>
      <c r="G62" s="184"/>
      <c r="H62" s="113"/>
      <c r="I62" s="109" t="s">
        <v>14</v>
      </c>
      <c r="J62" s="107">
        <v>100</v>
      </c>
      <c r="K62" s="107">
        <f>IF(J62="","Blm diisi",J62)</f>
        <v>100</v>
      </c>
      <c r="L62" s="99" t="s">
        <v>365</v>
      </c>
      <c r="M62" s="99" t="s">
        <v>142</v>
      </c>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row>
    <row r="63" spans="1:72" s="105" customFormat="1" x14ac:dyDescent="0.2">
      <c r="A63" s="213"/>
      <c r="B63" s="213"/>
      <c r="C63" s="213" t="s">
        <v>126</v>
      </c>
      <c r="D63" s="398" t="s">
        <v>84</v>
      </c>
      <c r="E63" s="398"/>
      <c r="F63" s="398"/>
      <c r="G63" s="214">
        <f>G64</f>
        <v>100</v>
      </c>
      <c r="H63" s="128"/>
      <c r="I63" s="124"/>
      <c r="J63" s="122"/>
      <c r="K63" s="214">
        <f>K64</f>
        <v>100</v>
      </c>
      <c r="L63" s="315"/>
      <c r="M63" s="125"/>
    </row>
    <row r="64" spans="1:72" s="93" customFormat="1" x14ac:dyDescent="0.2">
      <c r="A64" s="118"/>
      <c r="B64" s="118"/>
      <c r="C64" s="118"/>
      <c r="D64" s="118" t="s">
        <v>258</v>
      </c>
      <c r="E64" s="419" t="s">
        <v>259</v>
      </c>
      <c r="F64" s="420"/>
      <c r="G64" s="119">
        <v>100</v>
      </c>
      <c r="H64" s="90"/>
      <c r="I64" s="102"/>
      <c r="J64" s="89"/>
      <c r="K64" s="119">
        <f>K65</f>
        <v>100</v>
      </c>
      <c r="L64" s="261"/>
      <c r="M64" s="120"/>
      <c r="N64" s="81"/>
      <c r="O64" s="81"/>
      <c r="P64" s="81"/>
      <c r="Q64" s="81"/>
      <c r="R64" s="81"/>
      <c r="S64" s="81"/>
      <c r="T64" s="81"/>
      <c r="U64" s="81"/>
      <c r="V64" s="81"/>
      <c r="W64" s="81"/>
      <c r="X64" s="81"/>
      <c r="Y64" s="81"/>
      <c r="Z64" s="81"/>
      <c r="AA64" s="81"/>
      <c r="AB64" s="81"/>
      <c r="AC64" s="81"/>
      <c r="AD64" s="81"/>
      <c r="AE64" s="81"/>
      <c r="AF64" s="81"/>
      <c r="AG64" s="81"/>
      <c r="AH64" s="81"/>
      <c r="AI64" s="81"/>
      <c r="AJ64" s="81"/>
      <c r="AK64" s="81"/>
      <c r="AL64" s="81"/>
      <c r="AM64" s="81"/>
      <c r="AN64" s="81"/>
      <c r="AO64" s="81"/>
      <c r="AP64" s="81"/>
      <c r="AQ64" s="81"/>
      <c r="AR64" s="81"/>
      <c r="AS64" s="81"/>
      <c r="AT64" s="81"/>
      <c r="AU64" s="81"/>
      <c r="AV64" s="81"/>
      <c r="AW64" s="81"/>
      <c r="AX64" s="81"/>
      <c r="AY64" s="81"/>
      <c r="AZ64" s="81"/>
      <c r="BA64" s="81"/>
      <c r="BB64" s="81"/>
      <c r="BC64" s="81"/>
      <c r="BD64" s="81"/>
      <c r="BE64" s="81"/>
      <c r="BF64" s="81"/>
      <c r="BG64" s="81"/>
      <c r="BH64" s="81"/>
      <c r="BI64" s="81"/>
      <c r="BJ64" s="81"/>
      <c r="BK64" s="81"/>
      <c r="BL64" s="81"/>
      <c r="BM64" s="81"/>
      <c r="BN64" s="81"/>
      <c r="BO64" s="81"/>
      <c r="BP64" s="81"/>
      <c r="BQ64" s="81"/>
      <c r="BR64" s="81"/>
      <c r="BS64" s="81"/>
      <c r="BT64" s="81"/>
    </row>
    <row r="65" spans="1:72" s="136" customFormat="1" ht="48" x14ac:dyDescent="0.2">
      <c r="A65" s="183"/>
      <c r="B65" s="183"/>
      <c r="C65" s="183"/>
      <c r="D65" s="183"/>
      <c r="E65" s="95" t="s">
        <v>17</v>
      </c>
      <c r="F65" s="113" t="s">
        <v>260</v>
      </c>
      <c r="G65" s="184"/>
      <c r="H65" s="113"/>
      <c r="I65" s="109" t="s">
        <v>14</v>
      </c>
      <c r="J65" s="107">
        <v>100</v>
      </c>
      <c r="K65" s="107">
        <f>IF(J65="","Blm diisi",J65)</f>
        <v>100</v>
      </c>
      <c r="L65" s="261" t="s">
        <v>366</v>
      </c>
      <c r="M65" s="261" t="s">
        <v>86</v>
      </c>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row>
    <row r="66" spans="1:72" s="105" customFormat="1" x14ac:dyDescent="0.2">
      <c r="A66" s="213"/>
      <c r="B66" s="213"/>
      <c r="C66" s="213" t="s">
        <v>208</v>
      </c>
      <c r="D66" s="415" t="s">
        <v>87</v>
      </c>
      <c r="E66" s="416"/>
      <c r="F66" s="417"/>
      <c r="G66" s="214">
        <f>G67</f>
        <v>100</v>
      </c>
      <c r="H66" s="254"/>
      <c r="I66" s="262"/>
      <c r="J66" s="215"/>
      <c r="K66" s="214">
        <f>K67</f>
        <v>100</v>
      </c>
      <c r="L66" s="315"/>
      <c r="M66" s="125"/>
    </row>
    <row r="67" spans="1:72" s="93" customFormat="1" x14ac:dyDescent="0.2">
      <c r="A67" s="118"/>
      <c r="B67" s="118"/>
      <c r="C67" s="118"/>
      <c r="D67" s="189" t="s">
        <v>262</v>
      </c>
      <c r="E67" s="418" t="s">
        <v>261</v>
      </c>
      <c r="F67" s="418"/>
      <c r="G67" s="119">
        <v>100</v>
      </c>
      <c r="H67" s="256"/>
      <c r="I67" s="102"/>
      <c r="J67" s="186"/>
      <c r="K67" s="119">
        <f>K68*G67%</f>
        <v>100</v>
      </c>
      <c r="L67" s="261"/>
      <c r="M67" s="120"/>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c r="BA67" s="81"/>
      <c r="BB67" s="81"/>
      <c r="BC67" s="81"/>
      <c r="BD67" s="81"/>
      <c r="BE67" s="81"/>
      <c r="BF67" s="81"/>
      <c r="BG67" s="81"/>
      <c r="BH67" s="81"/>
      <c r="BI67" s="81"/>
      <c r="BJ67" s="81"/>
      <c r="BK67" s="81"/>
      <c r="BL67" s="81"/>
      <c r="BM67" s="81"/>
      <c r="BN67" s="81"/>
      <c r="BO67" s="81"/>
      <c r="BP67" s="81"/>
      <c r="BQ67" s="81"/>
      <c r="BR67" s="81"/>
      <c r="BS67" s="81"/>
      <c r="BT67" s="81"/>
    </row>
    <row r="68" spans="1:72" s="136" customFormat="1" ht="96" x14ac:dyDescent="0.2">
      <c r="A68" s="183"/>
      <c r="B68" s="183"/>
      <c r="C68" s="183"/>
      <c r="D68" s="190"/>
      <c r="E68" s="95" t="s">
        <v>17</v>
      </c>
      <c r="F68" s="191" t="s">
        <v>263</v>
      </c>
      <c r="G68" s="184"/>
      <c r="H68" s="180" t="s">
        <v>170</v>
      </c>
      <c r="I68" s="98" t="s">
        <v>88</v>
      </c>
      <c r="J68" s="177" t="s">
        <v>69</v>
      </c>
      <c r="K68" s="175">
        <f>IF(I68="A/B/C/D/E/F",IF(J68="A",100,IF(J68="B",80,IF(J68="C",60,IF(J68="D",40,IF(J68="E",20,IF(J68="F",0,"Blm Diisi")))))))</f>
        <v>100</v>
      </c>
      <c r="L68" s="261" t="s">
        <v>332</v>
      </c>
      <c r="M68" s="261" t="s">
        <v>75</v>
      </c>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row>
    <row r="69" spans="1:72" x14ac:dyDescent="0.2">
      <c r="A69" s="82"/>
      <c r="B69" s="82" t="s">
        <v>89</v>
      </c>
      <c r="C69" s="373" t="s">
        <v>90</v>
      </c>
      <c r="D69" s="374"/>
      <c r="E69" s="374"/>
      <c r="F69" s="375"/>
      <c r="G69" s="83">
        <f>AVERAGE(G70,G108,G119,G128,G131,G139)</f>
        <v>100</v>
      </c>
      <c r="H69" s="84"/>
      <c r="I69" s="86"/>
      <c r="J69" s="85"/>
      <c r="K69" s="83">
        <f>AVERAGE(K70,K108,K119,K128,K131,K139)</f>
        <v>100</v>
      </c>
      <c r="L69" s="86"/>
      <c r="M69" s="86"/>
    </row>
    <row r="70" spans="1:72" s="105" customFormat="1" x14ac:dyDescent="0.2">
      <c r="A70" s="121"/>
      <c r="B70" s="121"/>
      <c r="C70" s="121" t="s">
        <v>11</v>
      </c>
      <c r="D70" s="352" t="s">
        <v>463</v>
      </c>
      <c r="E70" s="353"/>
      <c r="F70" s="354"/>
      <c r="G70" s="122">
        <v>100</v>
      </c>
      <c r="H70" s="128"/>
      <c r="I70" s="129"/>
      <c r="J70" s="174"/>
      <c r="K70" s="122">
        <f>SUM(K71,K81,K87,K94,K99,K104)</f>
        <v>100</v>
      </c>
      <c r="L70" s="267"/>
      <c r="M70" s="130"/>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c r="AZ70" s="81"/>
      <c r="BA70" s="81"/>
      <c r="BB70" s="81"/>
      <c r="BC70" s="81"/>
      <c r="BD70" s="81"/>
      <c r="BE70" s="81"/>
      <c r="BF70" s="81"/>
      <c r="BG70" s="81"/>
      <c r="BH70" s="81"/>
      <c r="BI70" s="81"/>
      <c r="BJ70" s="81"/>
      <c r="BK70" s="81"/>
      <c r="BL70" s="81"/>
      <c r="BM70" s="81"/>
      <c r="BN70" s="81"/>
      <c r="BO70" s="81"/>
      <c r="BP70" s="81"/>
      <c r="BQ70" s="81"/>
      <c r="BR70" s="81"/>
      <c r="BS70" s="81"/>
      <c r="BT70" s="81"/>
    </row>
    <row r="71" spans="1:72" s="81" customFormat="1" x14ac:dyDescent="0.2">
      <c r="A71" s="88"/>
      <c r="B71" s="88"/>
      <c r="C71" s="88"/>
      <c r="D71" s="88" t="s">
        <v>244</v>
      </c>
      <c r="E71" s="350" t="s">
        <v>368</v>
      </c>
      <c r="F71" s="351"/>
      <c r="G71" s="330">
        <v>24</v>
      </c>
      <c r="H71" s="90"/>
      <c r="I71" s="102"/>
      <c r="J71" s="89"/>
      <c r="K71" s="89">
        <f>AVERAGE(K72:K80)*G71%</f>
        <v>24</v>
      </c>
      <c r="L71" s="99"/>
      <c r="M71" s="92"/>
    </row>
    <row r="72" spans="1:72" ht="258.75" customHeight="1" x14ac:dyDescent="0.2">
      <c r="A72" s="88"/>
      <c r="B72" s="88"/>
      <c r="C72" s="95"/>
      <c r="D72" s="95"/>
      <c r="E72" s="95" t="s">
        <v>17</v>
      </c>
      <c r="F72" s="133" t="s">
        <v>369</v>
      </c>
      <c r="G72" s="107"/>
      <c r="H72" s="113" t="s">
        <v>370</v>
      </c>
      <c r="I72" s="137" t="s">
        <v>88</v>
      </c>
      <c r="J72" s="177" t="s">
        <v>69</v>
      </c>
      <c r="K72" s="175">
        <f t="shared" ref="K72:K80" si="7">IF(I72="A/B/C/D/E/F",IF(J72="A",100,IF(J72="B",80,IF(J72="C",60,IF(J72="D",40%,IF(J72="E",20%,IF(J72="F",10%,"Blm Diisi")))))))</f>
        <v>100</v>
      </c>
      <c r="L72" s="421" t="s">
        <v>440</v>
      </c>
      <c r="M72" s="99" t="s">
        <v>439</v>
      </c>
    </row>
    <row r="73" spans="1:72" ht="189" customHeight="1" x14ac:dyDescent="0.2">
      <c r="A73" s="88"/>
      <c r="B73" s="88"/>
      <c r="C73" s="95"/>
      <c r="D73" s="95"/>
      <c r="E73" s="95" t="s">
        <v>21</v>
      </c>
      <c r="F73" s="117" t="s">
        <v>371</v>
      </c>
      <c r="G73" s="107"/>
      <c r="H73" s="113" t="s">
        <v>372</v>
      </c>
      <c r="I73" s="137" t="s">
        <v>88</v>
      </c>
      <c r="J73" s="177" t="s">
        <v>69</v>
      </c>
      <c r="K73" s="175">
        <f t="shared" si="7"/>
        <v>100</v>
      </c>
      <c r="L73" s="422"/>
      <c r="M73" s="99" t="s">
        <v>439</v>
      </c>
    </row>
    <row r="74" spans="1:72" ht="257.25" customHeight="1" x14ac:dyDescent="0.2">
      <c r="A74" s="88"/>
      <c r="B74" s="88"/>
      <c r="C74" s="95"/>
      <c r="D74" s="95"/>
      <c r="E74" s="95" t="s">
        <v>23</v>
      </c>
      <c r="F74" s="117" t="s">
        <v>374</v>
      </c>
      <c r="G74" s="107"/>
      <c r="H74" s="113" t="s">
        <v>373</v>
      </c>
      <c r="I74" s="137" t="s">
        <v>88</v>
      </c>
      <c r="J74" s="177" t="s">
        <v>69</v>
      </c>
      <c r="K74" s="175">
        <f t="shared" si="7"/>
        <v>100</v>
      </c>
      <c r="L74" s="422"/>
      <c r="M74" s="99" t="s">
        <v>439</v>
      </c>
    </row>
    <row r="75" spans="1:72" ht="192" x14ac:dyDescent="0.2">
      <c r="A75" s="88"/>
      <c r="B75" s="88"/>
      <c r="C75" s="95"/>
      <c r="D75" s="95"/>
      <c r="E75" s="95" t="s">
        <v>24</v>
      </c>
      <c r="F75" s="117" t="s">
        <v>375</v>
      </c>
      <c r="G75" s="107"/>
      <c r="H75" s="113" t="s">
        <v>376</v>
      </c>
      <c r="I75" s="137" t="s">
        <v>88</v>
      </c>
      <c r="J75" s="177" t="s">
        <v>69</v>
      </c>
      <c r="K75" s="175">
        <f t="shared" si="7"/>
        <v>100</v>
      </c>
      <c r="L75" s="422"/>
      <c r="M75" s="99" t="s">
        <v>439</v>
      </c>
    </row>
    <row r="76" spans="1:72" ht="269.25" customHeight="1" x14ac:dyDescent="0.2">
      <c r="A76" s="88"/>
      <c r="B76" s="88"/>
      <c r="C76" s="95"/>
      <c r="D76" s="95"/>
      <c r="E76" s="95" t="s">
        <v>26</v>
      </c>
      <c r="F76" s="117" t="s">
        <v>377</v>
      </c>
      <c r="G76" s="107"/>
      <c r="H76" s="113" t="s">
        <v>378</v>
      </c>
      <c r="I76" s="137" t="s">
        <v>88</v>
      </c>
      <c r="J76" s="177" t="s">
        <v>69</v>
      </c>
      <c r="K76" s="175">
        <f t="shared" si="7"/>
        <v>100</v>
      </c>
      <c r="L76" s="422"/>
      <c r="M76" s="99" t="s">
        <v>439</v>
      </c>
    </row>
    <row r="77" spans="1:72" ht="239.25" customHeight="1" x14ac:dyDescent="0.2">
      <c r="A77" s="88"/>
      <c r="B77" s="88"/>
      <c r="C77" s="95"/>
      <c r="D77" s="95"/>
      <c r="E77" s="95" t="s">
        <v>28</v>
      </c>
      <c r="F77" s="117" t="s">
        <v>379</v>
      </c>
      <c r="G77" s="107"/>
      <c r="H77" s="113" t="s">
        <v>380</v>
      </c>
      <c r="I77" s="137" t="s">
        <v>88</v>
      </c>
      <c r="J77" s="177" t="s">
        <v>69</v>
      </c>
      <c r="K77" s="175">
        <f t="shared" si="7"/>
        <v>100</v>
      </c>
      <c r="L77" s="422"/>
      <c r="M77" s="99" t="s">
        <v>439</v>
      </c>
    </row>
    <row r="78" spans="1:72" ht="112" x14ac:dyDescent="0.2">
      <c r="A78" s="88"/>
      <c r="B78" s="88"/>
      <c r="C78" s="95"/>
      <c r="D78" s="95"/>
      <c r="E78" s="95" t="s">
        <v>29</v>
      </c>
      <c r="F78" s="117" t="s">
        <v>381</v>
      </c>
      <c r="G78" s="107"/>
      <c r="H78" s="113" t="s">
        <v>382</v>
      </c>
      <c r="I78" s="137" t="s">
        <v>88</v>
      </c>
      <c r="J78" s="177" t="s">
        <v>69</v>
      </c>
      <c r="K78" s="175">
        <f t="shared" si="7"/>
        <v>100</v>
      </c>
      <c r="L78" s="422"/>
      <c r="M78" s="99" t="s">
        <v>93</v>
      </c>
    </row>
    <row r="79" spans="1:72" ht="160" x14ac:dyDescent="0.2">
      <c r="A79" s="88"/>
      <c r="B79" s="88"/>
      <c r="C79" s="95"/>
      <c r="D79" s="95"/>
      <c r="E79" s="95" t="s">
        <v>32</v>
      </c>
      <c r="F79" s="117" t="s">
        <v>383</v>
      </c>
      <c r="G79" s="107"/>
      <c r="H79" s="113" t="s">
        <v>384</v>
      </c>
      <c r="I79" s="137" t="s">
        <v>88</v>
      </c>
      <c r="J79" s="177" t="s">
        <v>69</v>
      </c>
      <c r="K79" s="175">
        <f t="shared" si="7"/>
        <v>100</v>
      </c>
      <c r="L79" s="422"/>
      <c r="M79" s="99" t="s">
        <v>439</v>
      </c>
    </row>
    <row r="80" spans="1:72" ht="195" customHeight="1" x14ac:dyDescent="0.2">
      <c r="A80" s="88"/>
      <c r="B80" s="88"/>
      <c r="C80" s="95"/>
      <c r="D80" s="95"/>
      <c r="E80" s="95" t="s">
        <v>33</v>
      </c>
      <c r="F80" s="117" t="s">
        <v>385</v>
      </c>
      <c r="G80" s="107"/>
      <c r="H80" s="113" t="s">
        <v>386</v>
      </c>
      <c r="I80" s="137" t="s">
        <v>88</v>
      </c>
      <c r="J80" s="177" t="s">
        <v>69</v>
      </c>
      <c r="K80" s="175">
        <f t="shared" si="7"/>
        <v>100</v>
      </c>
      <c r="L80" s="423"/>
      <c r="M80" s="99" t="s">
        <v>439</v>
      </c>
    </row>
    <row r="81" spans="1:13" s="81" customFormat="1" ht="16" x14ac:dyDescent="0.2">
      <c r="A81" s="88"/>
      <c r="B81" s="88"/>
      <c r="C81" s="88"/>
      <c r="D81" s="88" t="s">
        <v>245</v>
      </c>
      <c r="E81" s="350" t="s">
        <v>387</v>
      </c>
      <c r="F81" s="351"/>
      <c r="G81" s="330">
        <v>25</v>
      </c>
      <c r="H81" s="90"/>
      <c r="I81" s="102"/>
      <c r="J81" s="89"/>
      <c r="K81" s="89">
        <f>AVERAGE(K82:K86)*G81%</f>
        <v>25</v>
      </c>
      <c r="L81" s="99"/>
      <c r="M81" s="99" t="s">
        <v>439</v>
      </c>
    </row>
    <row r="82" spans="1:13" ht="195" customHeight="1" x14ac:dyDescent="0.2">
      <c r="A82" s="88"/>
      <c r="B82" s="88"/>
      <c r="C82" s="95"/>
      <c r="D82" s="95"/>
      <c r="E82" s="95" t="s">
        <v>17</v>
      </c>
      <c r="F82" s="117" t="s">
        <v>388</v>
      </c>
      <c r="G82" s="107"/>
      <c r="H82" s="113" t="s">
        <v>389</v>
      </c>
      <c r="I82" s="137" t="s">
        <v>88</v>
      </c>
      <c r="J82" s="177" t="s">
        <v>69</v>
      </c>
      <c r="K82" s="175">
        <f>IF(I82="A/B/C/D/E/F",IF(J82="A",100,IF(J82="B",80,IF(J82="C",60,IF(J82="D",40%,IF(J82="E",20%,IF(J82="F",10%,"Blm Diisi")))))))</f>
        <v>100</v>
      </c>
      <c r="L82" s="99" t="s">
        <v>441</v>
      </c>
      <c r="M82" s="99" t="s">
        <v>439</v>
      </c>
    </row>
    <row r="83" spans="1:13" ht="254.25" customHeight="1" x14ac:dyDescent="0.2">
      <c r="A83" s="88"/>
      <c r="B83" s="88"/>
      <c r="C83" s="95"/>
      <c r="D83" s="95"/>
      <c r="E83" s="95" t="s">
        <v>21</v>
      </c>
      <c r="F83" s="117" t="s">
        <v>390</v>
      </c>
      <c r="G83" s="107"/>
      <c r="H83" s="113" t="s">
        <v>391</v>
      </c>
      <c r="I83" s="137" t="s">
        <v>88</v>
      </c>
      <c r="J83" s="177" t="s">
        <v>69</v>
      </c>
      <c r="K83" s="175">
        <f>IF(I83="A/B/C/D/E/F",IF(J83="A",100,IF(J83="B",80,IF(J83="C",60,IF(J83="D",40%,IF(J83="E",20%,IF(J83="F",10%,"Blm Diisi")))))))</f>
        <v>100</v>
      </c>
      <c r="L83" s="99" t="s">
        <v>442</v>
      </c>
      <c r="M83" s="99" t="s">
        <v>439</v>
      </c>
    </row>
    <row r="84" spans="1:13" ht="195" customHeight="1" x14ac:dyDescent="0.2">
      <c r="A84" s="88"/>
      <c r="B84" s="88"/>
      <c r="C84" s="95"/>
      <c r="D84" s="95"/>
      <c r="E84" s="95" t="s">
        <v>23</v>
      </c>
      <c r="F84" s="117" t="s">
        <v>392</v>
      </c>
      <c r="G84" s="107"/>
      <c r="H84" s="113" t="s">
        <v>393</v>
      </c>
      <c r="I84" s="137" t="s">
        <v>88</v>
      </c>
      <c r="J84" s="177" t="s">
        <v>69</v>
      </c>
      <c r="K84" s="175">
        <f>IF(I84="A/B/C/D/E/F",IF(J84="A",100,IF(J84="B",80,IF(J84="C",60,IF(J84="D",40%,IF(J84="E",20%,IF(J84="F",10%,"Blm Diisi")))))))</f>
        <v>100</v>
      </c>
      <c r="L84" s="99" t="s">
        <v>443</v>
      </c>
      <c r="M84" s="99" t="s">
        <v>439</v>
      </c>
    </row>
    <row r="85" spans="1:13" ht="195" customHeight="1" x14ac:dyDescent="0.2">
      <c r="A85" s="88"/>
      <c r="B85" s="88"/>
      <c r="C85" s="95"/>
      <c r="D85" s="95"/>
      <c r="E85" s="95" t="s">
        <v>24</v>
      </c>
      <c r="F85" s="117" t="s">
        <v>394</v>
      </c>
      <c r="G85" s="107"/>
      <c r="H85" s="113" t="s">
        <v>395</v>
      </c>
      <c r="I85" s="137" t="s">
        <v>88</v>
      </c>
      <c r="J85" s="177" t="s">
        <v>69</v>
      </c>
      <c r="K85" s="175">
        <f>IF(I85="A/B/C/D/E/F",IF(J85="A",100,IF(J85="B",80,IF(J85="C",60,IF(J85="D",40%,IF(J85="E",20%,IF(J85="F",10%,"Blm Diisi")))))))</f>
        <v>100</v>
      </c>
      <c r="L85" s="99" t="s">
        <v>444</v>
      </c>
      <c r="M85" s="99" t="s">
        <v>439</v>
      </c>
    </row>
    <row r="86" spans="1:13" ht="195" customHeight="1" x14ac:dyDescent="0.2">
      <c r="A86" s="88"/>
      <c r="B86" s="88"/>
      <c r="C86" s="95"/>
      <c r="D86" s="95"/>
      <c r="E86" s="95" t="s">
        <v>26</v>
      </c>
      <c r="F86" s="117" t="s">
        <v>396</v>
      </c>
      <c r="G86" s="107"/>
      <c r="H86" s="113" t="s">
        <v>397</v>
      </c>
      <c r="I86" s="137" t="s">
        <v>88</v>
      </c>
      <c r="J86" s="177" t="s">
        <v>69</v>
      </c>
      <c r="K86" s="175">
        <f>IF(I86="A/B/C/D/E/F",IF(J86="A",100,IF(J86="B",80,IF(J86="C",60,IF(J86="D",40%,IF(J86="E",20%,IF(J86="F",10%,"Blm Diisi")))))))</f>
        <v>100</v>
      </c>
      <c r="L86" s="99" t="s">
        <v>445</v>
      </c>
      <c r="M86" s="99" t="s">
        <v>439</v>
      </c>
    </row>
    <row r="87" spans="1:13" s="81" customFormat="1" ht="49.5" customHeight="1" x14ac:dyDescent="0.2">
      <c r="A87" s="88"/>
      <c r="B87" s="88"/>
      <c r="C87" s="88"/>
      <c r="D87" s="88" t="s">
        <v>246</v>
      </c>
      <c r="E87" s="350" t="s">
        <v>398</v>
      </c>
      <c r="F87" s="351"/>
      <c r="G87" s="330">
        <v>18</v>
      </c>
      <c r="H87" s="90"/>
      <c r="I87" s="102"/>
      <c r="J87" s="89"/>
      <c r="K87" s="89">
        <f>AVERAGE(K88:K93)*G87%</f>
        <v>18</v>
      </c>
      <c r="L87" s="99"/>
      <c r="M87" s="99" t="s">
        <v>439</v>
      </c>
    </row>
    <row r="88" spans="1:13" ht="254.25" customHeight="1" x14ac:dyDescent="0.2">
      <c r="A88" s="88"/>
      <c r="B88" s="88"/>
      <c r="C88" s="95"/>
      <c r="D88" s="95"/>
      <c r="E88" s="95" t="s">
        <v>17</v>
      </c>
      <c r="F88" s="117" t="s">
        <v>399</v>
      </c>
      <c r="G88" s="107"/>
      <c r="H88" s="113" t="s">
        <v>400</v>
      </c>
      <c r="I88" s="137" t="s">
        <v>88</v>
      </c>
      <c r="J88" s="177" t="s">
        <v>69</v>
      </c>
      <c r="K88" s="175">
        <f t="shared" ref="K88:K93" si="8">IF(I88="A/B/C/D/E/F",IF(J88="A",100,IF(J88="B",80,IF(J88="C",60,IF(J88="D",40%,IF(J88="E",20%,IF(J88="F",10%,"Blm Diisi")))))))</f>
        <v>100</v>
      </c>
      <c r="L88" s="99" t="s">
        <v>446</v>
      </c>
      <c r="M88" s="99" t="s">
        <v>439</v>
      </c>
    </row>
    <row r="89" spans="1:13" ht="254.25" customHeight="1" x14ac:dyDescent="0.2">
      <c r="A89" s="88"/>
      <c r="B89" s="88"/>
      <c r="C89" s="95"/>
      <c r="D89" s="95"/>
      <c r="E89" s="95" t="s">
        <v>21</v>
      </c>
      <c r="F89" s="117" t="s">
        <v>401</v>
      </c>
      <c r="G89" s="107"/>
      <c r="H89" s="113" t="s">
        <v>402</v>
      </c>
      <c r="I89" s="137" t="s">
        <v>88</v>
      </c>
      <c r="J89" s="177" t="s">
        <v>69</v>
      </c>
      <c r="K89" s="175">
        <f t="shared" si="8"/>
        <v>100</v>
      </c>
      <c r="L89" s="99" t="s">
        <v>447</v>
      </c>
      <c r="M89" s="99" t="s">
        <v>439</v>
      </c>
    </row>
    <row r="90" spans="1:13" ht="254.25" customHeight="1" x14ac:dyDescent="0.2">
      <c r="A90" s="88"/>
      <c r="B90" s="88"/>
      <c r="C90" s="95"/>
      <c r="D90" s="95"/>
      <c r="E90" s="95" t="s">
        <v>23</v>
      </c>
      <c r="F90" s="117" t="s">
        <v>403</v>
      </c>
      <c r="G90" s="107"/>
      <c r="H90" s="113" t="s">
        <v>404</v>
      </c>
      <c r="I90" s="137" t="s">
        <v>88</v>
      </c>
      <c r="J90" s="177" t="s">
        <v>69</v>
      </c>
      <c r="K90" s="175">
        <f t="shared" si="8"/>
        <v>100</v>
      </c>
      <c r="L90" s="99" t="s">
        <v>448</v>
      </c>
      <c r="M90" s="99" t="s">
        <v>93</v>
      </c>
    </row>
    <row r="91" spans="1:13" ht="254.25" customHeight="1" x14ac:dyDescent="0.2">
      <c r="A91" s="88"/>
      <c r="B91" s="88"/>
      <c r="C91" s="95"/>
      <c r="D91" s="95"/>
      <c r="E91" s="95" t="s">
        <v>24</v>
      </c>
      <c r="F91" s="117" t="s">
        <v>405</v>
      </c>
      <c r="G91" s="107"/>
      <c r="H91" s="113" t="s">
        <v>406</v>
      </c>
      <c r="I91" s="137" t="s">
        <v>88</v>
      </c>
      <c r="J91" s="177" t="s">
        <v>69</v>
      </c>
      <c r="K91" s="175">
        <f t="shared" si="8"/>
        <v>100</v>
      </c>
      <c r="L91" s="99" t="s">
        <v>449</v>
      </c>
      <c r="M91" s="99" t="s">
        <v>439</v>
      </c>
    </row>
    <row r="92" spans="1:13" ht="254.25" customHeight="1" x14ac:dyDescent="0.2">
      <c r="A92" s="88"/>
      <c r="B92" s="88"/>
      <c r="C92" s="95"/>
      <c r="D92" s="95"/>
      <c r="E92" s="95" t="s">
        <v>26</v>
      </c>
      <c r="F92" s="117" t="s">
        <v>407</v>
      </c>
      <c r="G92" s="107"/>
      <c r="H92" s="113" t="s">
        <v>408</v>
      </c>
      <c r="I92" s="137" t="s">
        <v>88</v>
      </c>
      <c r="J92" s="177" t="s">
        <v>69</v>
      </c>
      <c r="K92" s="175">
        <f t="shared" si="8"/>
        <v>100</v>
      </c>
      <c r="L92" s="99" t="s">
        <v>450</v>
      </c>
      <c r="M92" s="99" t="s">
        <v>439</v>
      </c>
    </row>
    <row r="93" spans="1:13" ht="254.25" customHeight="1" x14ac:dyDescent="0.2">
      <c r="A93" s="88"/>
      <c r="B93" s="88"/>
      <c r="C93" s="95"/>
      <c r="D93" s="95"/>
      <c r="E93" s="95" t="s">
        <v>28</v>
      </c>
      <c r="F93" s="117" t="s">
        <v>409</v>
      </c>
      <c r="G93" s="107"/>
      <c r="H93" s="113" t="s">
        <v>410</v>
      </c>
      <c r="I93" s="137" t="s">
        <v>88</v>
      </c>
      <c r="J93" s="177" t="s">
        <v>69</v>
      </c>
      <c r="K93" s="175">
        <f t="shared" si="8"/>
        <v>100</v>
      </c>
      <c r="L93" s="99" t="s">
        <v>451</v>
      </c>
      <c r="M93" s="99" t="s">
        <v>93</v>
      </c>
    </row>
    <row r="94" spans="1:13" s="81" customFormat="1" ht="16" x14ac:dyDescent="0.2">
      <c r="A94" s="88"/>
      <c r="B94" s="88"/>
      <c r="C94" s="88"/>
      <c r="D94" s="88" t="s">
        <v>420</v>
      </c>
      <c r="E94" s="350" t="s">
        <v>411</v>
      </c>
      <c r="F94" s="351"/>
      <c r="G94" s="330">
        <v>11</v>
      </c>
      <c r="H94" s="90"/>
      <c r="I94" s="102"/>
      <c r="J94" s="89"/>
      <c r="K94" s="89">
        <f>AVERAGE(K95:K98)*G94%</f>
        <v>11</v>
      </c>
      <c r="L94" s="99"/>
      <c r="M94" s="99" t="s">
        <v>439</v>
      </c>
    </row>
    <row r="95" spans="1:13" ht="273" customHeight="1" x14ac:dyDescent="0.2">
      <c r="A95" s="88"/>
      <c r="B95" s="88"/>
      <c r="C95" s="95"/>
      <c r="D95" s="95"/>
      <c r="E95" s="95" t="s">
        <v>17</v>
      </c>
      <c r="F95" s="117" t="s">
        <v>412</v>
      </c>
      <c r="G95" s="107"/>
      <c r="H95" s="113" t="s">
        <v>413</v>
      </c>
      <c r="I95" s="137" t="s">
        <v>88</v>
      </c>
      <c r="J95" s="177" t="s">
        <v>69</v>
      </c>
      <c r="K95" s="175">
        <f>IF(I95="A/B/C/D/E/F",IF(J95="A",100,IF(J95="B",80,IF(J95="C",60,IF(J95="D",40%,IF(J95="E",20%,IF(J95="F",10%,"Blm Diisi")))))))</f>
        <v>100</v>
      </c>
      <c r="L95" s="99" t="s">
        <v>452</v>
      </c>
      <c r="M95" s="99" t="s">
        <v>439</v>
      </c>
    </row>
    <row r="96" spans="1:13" ht="254.25" customHeight="1" x14ac:dyDescent="0.2">
      <c r="A96" s="88"/>
      <c r="B96" s="88"/>
      <c r="C96" s="95"/>
      <c r="D96" s="95"/>
      <c r="E96" s="95" t="s">
        <v>21</v>
      </c>
      <c r="F96" s="117" t="s">
        <v>414</v>
      </c>
      <c r="G96" s="107"/>
      <c r="H96" s="113" t="s">
        <v>415</v>
      </c>
      <c r="I96" s="137" t="s">
        <v>88</v>
      </c>
      <c r="J96" s="177" t="s">
        <v>69</v>
      </c>
      <c r="K96" s="175">
        <f>IF(I96="A/B/C/D/E/F",IF(J96="A",100,IF(J96="B",80,IF(J96="C",60,IF(J96="D",40%,IF(J96="E",20%,IF(J96="F",10%,"Blm Diisi")))))))</f>
        <v>100</v>
      </c>
      <c r="L96" s="99" t="s">
        <v>453</v>
      </c>
      <c r="M96" s="99" t="s">
        <v>439</v>
      </c>
    </row>
    <row r="97" spans="1:13" ht="264" customHeight="1" x14ac:dyDescent="0.2">
      <c r="A97" s="88"/>
      <c r="B97" s="88"/>
      <c r="C97" s="95"/>
      <c r="D97" s="95"/>
      <c r="E97" s="95" t="s">
        <v>23</v>
      </c>
      <c r="F97" s="117" t="s">
        <v>416</v>
      </c>
      <c r="G97" s="107"/>
      <c r="H97" s="113" t="s">
        <v>417</v>
      </c>
      <c r="I97" s="137" t="s">
        <v>88</v>
      </c>
      <c r="J97" s="177" t="s">
        <v>69</v>
      </c>
      <c r="K97" s="175">
        <f>IF(I97="A/B/C/D/E/F",IF(J97="A",100,IF(J97="B",80,IF(J97="C",60,IF(J97="D",40%,IF(J97="E",20%,IF(J97="F",10%,"Blm Diisi")))))))</f>
        <v>100</v>
      </c>
      <c r="L97" s="99" t="s">
        <v>454</v>
      </c>
      <c r="M97" s="99" t="s">
        <v>439</v>
      </c>
    </row>
    <row r="98" spans="1:13" ht="254.25" customHeight="1" x14ac:dyDescent="0.2">
      <c r="A98" s="88"/>
      <c r="B98" s="88"/>
      <c r="C98" s="95"/>
      <c r="D98" s="95"/>
      <c r="E98" s="95" t="s">
        <v>24</v>
      </c>
      <c r="F98" s="117" t="s">
        <v>418</v>
      </c>
      <c r="G98" s="107"/>
      <c r="H98" s="113" t="s">
        <v>419</v>
      </c>
      <c r="I98" s="137" t="s">
        <v>88</v>
      </c>
      <c r="J98" s="177" t="s">
        <v>69</v>
      </c>
      <c r="K98" s="175">
        <f>IF(I98="A/B/C/D/E/F",IF(J98="A",100,IF(J98="B",80,IF(J98="C",60,IF(J98="D",40%,IF(J98="E",20%,IF(J98="F",10%,"Blm Diisi")))))))</f>
        <v>100</v>
      </c>
      <c r="L98" s="99" t="s">
        <v>455</v>
      </c>
      <c r="M98" s="99" t="s">
        <v>439</v>
      </c>
    </row>
    <row r="99" spans="1:13" s="81" customFormat="1" ht="16" x14ac:dyDescent="0.2">
      <c r="A99" s="88"/>
      <c r="B99" s="88"/>
      <c r="C99" s="88"/>
      <c r="D99" s="88" t="s">
        <v>431</v>
      </c>
      <c r="E99" s="350" t="s">
        <v>421</v>
      </c>
      <c r="F99" s="351"/>
      <c r="G99" s="330">
        <v>10</v>
      </c>
      <c r="H99" s="90"/>
      <c r="I99" s="102"/>
      <c r="J99" s="89"/>
      <c r="K99" s="89">
        <f>AVERAGE(K100:K103)*G99%</f>
        <v>10</v>
      </c>
      <c r="L99" s="99"/>
      <c r="M99" s="99" t="s">
        <v>93</v>
      </c>
    </row>
    <row r="100" spans="1:13" ht="254.25" customHeight="1" x14ac:dyDescent="0.2">
      <c r="A100" s="88"/>
      <c r="B100" s="88"/>
      <c r="C100" s="95"/>
      <c r="D100" s="95"/>
      <c r="E100" s="95" t="s">
        <v>17</v>
      </c>
      <c r="F100" s="117" t="s">
        <v>422</v>
      </c>
      <c r="G100" s="107"/>
      <c r="H100" s="113" t="s">
        <v>423</v>
      </c>
      <c r="I100" s="137" t="s">
        <v>88</v>
      </c>
      <c r="J100" s="177" t="s">
        <v>69</v>
      </c>
      <c r="K100" s="175">
        <f>IF(I100="A/B/C/D/E/F",IF(J100="A",100,IF(J100="B",80,IF(J100="C",60,IF(J100="D",40%,IF(J100="E",20%,IF(J100="F",10%,"Blm Diisi")))))))</f>
        <v>100</v>
      </c>
      <c r="L100" s="99" t="s">
        <v>456</v>
      </c>
      <c r="M100" s="99" t="s">
        <v>439</v>
      </c>
    </row>
    <row r="101" spans="1:13" ht="254.25" customHeight="1" x14ac:dyDescent="0.2">
      <c r="A101" s="88"/>
      <c r="B101" s="88"/>
      <c r="C101" s="95"/>
      <c r="D101" s="95"/>
      <c r="E101" s="95" t="s">
        <v>21</v>
      </c>
      <c r="F101" s="117" t="s">
        <v>424</v>
      </c>
      <c r="G101" s="107"/>
      <c r="H101" s="113" t="s">
        <v>425</v>
      </c>
      <c r="I101" s="137" t="s">
        <v>88</v>
      </c>
      <c r="J101" s="177" t="s">
        <v>69</v>
      </c>
      <c r="K101" s="175">
        <f>IF(I101="A/B/C/D/E/F",IF(J101="A",100,IF(J101="B",80,IF(J101="C",60,IF(J101="D",40%,IF(J101="E",20%,IF(J101="F",10%,"Blm Diisi")))))))</f>
        <v>100</v>
      </c>
      <c r="L101" s="99" t="s">
        <v>457</v>
      </c>
      <c r="M101" s="99" t="s">
        <v>439</v>
      </c>
    </row>
    <row r="102" spans="1:13" ht="254.25" customHeight="1" x14ac:dyDescent="0.2">
      <c r="A102" s="88"/>
      <c r="B102" s="88"/>
      <c r="C102" s="95"/>
      <c r="D102" s="95"/>
      <c r="E102" s="95" t="s">
        <v>23</v>
      </c>
      <c r="F102" s="117" t="s">
        <v>426</v>
      </c>
      <c r="G102" s="107"/>
      <c r="H102" s="113" t="s">
        <v>427</v>
      </c>
      <c r="I102" s="137" t="s">
        <v>88</v>
      </c>
      <c r="J102" s="177" t="s">
        <v>69</v>
      </c>
      <c r="K102" s="175">
        <f>IF(I102="A/B/C/D/E/F",IF(J102="A",100,IF(J102="B",80,IF(J102="C",60,IF(J102="D",40%,IF(J102="E",20%,IF(J102="F",10%,"Blm Diisi")))))))</f>
        <v>100</v>
      </c>
      <c r="L102" s="99" t="s">
        <v>458</v>
      </c>
      <c r="M102" s="99" t="s">
        <v>93</v>
      </c>
    </row>
    <row r="103" spans="1:13" ht="254.25" customHeight="1" x14ac:dyDescent="0.2">
      <c r="A103" s="88"/>
      <c r="B103" s="88"/>
      <c r="C103" s="95"/>
      <c r="D103" s="95"/>
      <c r="E103" s="95" t="s">
        <v>24</v>
      </c>
      <c r="F103" s="117" t="s">
        <v>428</v>
      </c>
      <c r="G103" s="107"/>
      <c r="H103" s="113" t="s">
        <v>429</v>
      </c>
      <c r="I103" s="137" t="s">
        <v>88</v>
      </c>
      <c r="J103" s="177" t="s">
        <v>69</v>
      </c>
      <c r="K103" s="175">
        <f>IF(I103="A/B/C/D/E/F",IF(J103="A",100,IF(J103="B",80,IF(J103="C",60,IF(J103="D",40%,IF(J103="E",20%,IF(J103="F",10%,"Blm Diisi")))))))</f>
        <v>100</v>
      </c>
      <c r="L103" s="99" t="s">
        <v>459</v>
      </c>
      <c r="M103" s="99" t="s">
        <v>439</v>
      </c>
    </row>
    <row r="104" spans="1:13" s="81" customFormat="1" ht="16" x14ac:dyDescent="0.2">
      <c r="A104" s="88"/>
      <c r="B104" s="88"/>
      <c r="C104" s="88"/>
      <c r="D104" s="88" t="s">
        <v>430</v>
      </c>
      <c r="E104" s="350" t="s">
        <v>432</v>
      </c>
      <c r="F104" s="351"/>
      <c r="G104" s="330">
        <v>12</v>
      </c>
      <c r="H104" s="90"/>
      <c r="I104" s="102"/>
      <c r="J104" s="89"/>
      <c r="K104" s="89">
        <f>AVERAGE(K105:K107)*G104%</f>
        <v>12</v>
      </c>
      <c r="L104" s="99"/>
      <c r="M104" s="99" t="s">
        <v>439</v>
      </c>
    </row>
    <row r="105" spans="1:13" ht="254.25" customHeight="1" x14ac:dyDescent="0.2">
      <c r="A105" s="88"/>
      <c r="B105" s="88"/>
      <c r="C105" s="95"/>
      <c r="D105" s="95"/>
      <c r="E105" s="95" t="s">
        <v>17</v>
      </c>
      <c r="F105" s="117" t="s">
        <v>433</v>
      </c>
      <c r="G105" s="107"/>
      <c r="H105" s="113" t="s">
        <v>434</v>
      </c>
      <c r="I105" s="137" t="s">
        <v>88</v>
      </c>
      <c r="J105" s="177" t="s">
        <v>69</v>
      </c>
      <c r="K105" s="175">
        <f>IF(I105="A/B/C/D/E/F",IF(J105="A",100,IF(J105="B",80,IF(J105="C",60,IF(J105="D",40%,IF(J105="E",20%,IF(J105="F",10%,"Blm Diisi")))))))</f>
        <v>100</v>
      </c>
      <c r="L105" s="99" t="s">
        <v>460</v>
      </c>
      <c r="M105" s="99" t="s">
        <v>439</v>
      </c>
    </row>
    <row r="106" spans="1:13" ht="254.25" customHeight="1" x14ac:dyDescent="0.2">
      <c r="A106" s="88"/>
      <c r="B106" s="88"/>
      <c r="C106" s="95"/>
      <c r="D106" s="95"/>
      <c r="E106" s="95" t="s">
        <v>21</v>
      </c>
      <c r="F106" s="117" t="s">
        <v>435</v>
      </c>
      <c r="G106" s="107"/>
      <c r="H106" s="113" t="s">
        <v>436</v>
      </c>
      <c r="I106" s="137" t="s">
        <v>88</v>
      </c>
      <c r="J106" s="177" t="s">
        <v>69</v>
      </c>
      <c r="K106" s="175">
        <f>IF(I106="A/B/C/D/E/F",IF(J106="A",100,IF(J106="B",80,IF(J106="C",60,IF(J106="D",40%,IF(J106="E",20%,IF(J106="F",10%,"Blm Diisi")))))))</f>
        <v>100</v>
      </c>
      <c r="L106" s="99" t="s">
        <v>461</v>
      </c>
      <c r="M106" s="99" t="s">
        <v>439</v>
      </c>
    </row>
    <row r="107" spans="1:13" ht="254.25" customHeight="1" x14ac:dyDescent="0.2">
      <c r="A107" s="88"/>
      <c r="B107" s="88"/>
      <c r="C107" s="95"/>
      <c r="D107" s="95"/>
      <c r="E107" s="95" t="s">
        <v>23</v>
      </c>
      <c r="F107" s="117" t="s">
        <v>437</v>
      </c>
      <c r="G107" s="107"/>
      <c r="H107" s="113" t="s">
        <v>438</v>
      </c>
      <c r="I107" s="137" t="s">
        <v>88</v>
      </c>
      <c r="J107" s="177" t="s">
        <v>69</v>
      </c>
      <c r="K107" s="175">
        <f>IF(I107="A/B/C/D/E/F",IF(J107="A",100,IF(J107="B",80,IF(J107="C",60,IF(J107="D",40%,IF(J107="E",20%,IF(J107="F",10%,"Blm Diisi")))))))</f>
        <v>100</v>
      </c>
      <c r="L107" s="99" t="s">
        <v>462</v>
      </c>
      <c r="M107" s="99" t="s">
        <v>439</v>
      </c>
    </row>
    <row r="108" spans="1:13" x14ac:dyDescent="0.2">
      <c r="A108" s="121"/>
      <c r="B108" s="121"/>
      <c r="C108" s="201" t="s">
        <v>81</v>
      </c>
      <c r="D108" s="352" t="s">
        <v>95</v>
      </c>
      <c r="E108" s="353"/>
      <c r="F108" s="354"/>
      <c r="G108" s="122">
        <f>G109+G114+G116</f>
        <v>100</v>
      </c>
      <c r="H108" s="128"/>
      <c r="I108" s="124"/>
      <c r="J108" s="122"/>
      <c r="K108" s="122">
        <f>K109+K114+K116</f>
        <v>100</v>
      </c>
      <c r="L108" s="267"/>
      <c r="M108" s="130"/>
    </row>
    <row r="109" spans="1:13" x14ac:dyDescent="0.2">
      <c r="A109" s="88"/>
      <c r="B109" s="88"/>
      <c r="C109" s="88"/>
      <c r="D109" s="88" t="s">
        <v>247</v>
      </c>
      <c r="E109" s="348" t="s">
        <v>96</v>
      </c>
      <c r="F109" s="349"/>
      <c r="G109" s="89">
        <v>36</v>
      </c>
      <c r="H109" s="90"/>
      <c r="I109" s="102"/>
      <c r="J109" s="89"/>
      <c r="K109" s="310">
        <f>AVERAGE(K110:K113)*G109%</f>
        <v>36</v>
      </c>
      <c r="L109" s="99"/>
      <c r="M109" s="312"/>
    </row>
    <row r="110" spans="1:13" ht="32" x14ac:dyDescent="0.2">
      <c r="A110" s="88"/>
      <c r="B110" s="88"/>
      <c r="C110" s="88"/>
      <c r="D110" s="88"/>
      <c r="E110" s="95" t="s">
        <v>17</v>
      </c>
      <c r="F110" s="117" t="s">
        <v>97</v>
      </c>
      <c r="G110" s="107"/>
      <c r="H110" s="117" t="s">
        <v>98</v>
      </c>
      <c r="I110" s="137" t="s">
        <v>19</v>
      </c>
      <c r="J110" s="176" t="s">
        <v>20</v>
      </c>
      <c r="K110" s="311">
        <f t="shared" ref="K110:K113" si="9">IF(I110="Ya/Tidak",IF(J110="Ya",100,IF(J110="Tidak",0,"Blm Diisi")))</f>
        <v>100</v>
      </c>
      <c r="L110" s="319" t="s">
        <v>333</v>
      </c>
      <c r="M110" s="138" t="s">
        <v>474</v>
      </c>
    </row>
    <row r="111" spans="1:13" ht="64" x14ac:dyDescent="0.2">
      <c r="A111" s="88"/>
      <c r="B111" s="88"/>
      <c r="C111" s="88"/>
      <c r="D111" s="88"/>
      <c r="E111" s="95" t="s">
        <v>21</v>
      </c>
      <c r="F111" s="117" t="s">
        <v>99</v>
      </c>
      <c r="G111" s="107"/>
      <c r="H111" s="117" t="s">
        <v>100</v>
      </c>
      <c r="I111" s="137" t="s">
        <v>19</v>
      </c>
      <c r="J111" s="176" t="s">
        <v>20</v>
      </c>
      <c r="K111" s="311">
        <f t="shared" si="9"/>
        <v>100</v>
      </c>
      <c r="L111" s="319" t="s">
        <v>334</v>
      </c>
      <c r="M111" s="138" t="s">
        <v>474</v>
      </c>
    </row>
    <row r="112" spans="1:13" ht="16" x14ac:dyDescent="0.2">
      <c r="A112" s="88"/>
      <c r="B112" s="88"/>
      <c r="C112" s="88"/>
      <c r="D112" s="88"/>
      <c r="E112" s="95" t="s">
        <v>23</v>
      </c>
      <c r="F112" s="134" t="s">
        <v>101</v>
      </c>
      <c r="G112" s="107"/>
      <c r="H112" s="134" t="s">
        <v>102</v>
      </c>
      <c r="I112" s="137" t="s">
        <v>19</v>
      </c>
      <c r="J112" s="176" t="s">
        <v>20</v>
      </c>
      <c r="K112" s="311">
        <f t="shared" si="9"/>
        <v>100</v>
      </c>
      <c r="L112" s="319" t="s">
        <v>101</v>
      </c>
      <c r="M112" s="138" t="s">
        <v>474</v>
      </c>
    </row>
    <row r="113" spans="1:13" ht="32" x14ac:dyDescent="0.2">
      <c r="A113" s="88"/>
      <c r="B113" s="88"/>
      <c r="C113" s="88"/>
      <c r="D113" s="88"/>
      <c r="E113" s="95" t="s">
        <v>24</v>
      </c>
      <c r="F113" s="134" t="s">
        <v>103</v>
      </c>
      <c r="G113" s="107"/>
      <c r="H113" s="134" t="s">
        <v>104</v>
      </c>
      <c r="I113" s="137" t="s">
        <v>19</v>
      </c>
      <c r="J113" s="176" t="s">
        <v>20</v>
      </c>
      <c r="K113" s="311">
        <f t="shared" si="9"/>
        <v>100</v>
      </c>
      <c r="L113" s="319" t="s">
        <v>335</v>
      </c>
      <c r="M113" s="138" t="s">
        <v>474</v>
      </c>
    </row>
    <row r="114" spans="1:13" ht="16" x14ac:dyDescent="0.2">
      <c r="A114" s="95"/>
      <c r="B114" s="95"/>
      <c r="C114" s="95"/>
      <c r="D114" s="88" t="s">
        <v>270</v>
      </c>
      <c r="E114" s="348" t="s">
        <v>272</v>
      </c>
      <c r="F114" s="349"/>
      <c r="G114" s="89">
        <v>24</v>
      </c>
      <c r="H114" s="134"/>
      <c r="I114" s="137"/>
      <c r="J114" s="177"/>
      <c r="K114" s="89">
        <f>K115*G114%</f>
        <v>24</v>
      </c>
      <c r="L114" s="313"/>
      <c r="M114" s="138" t="s">
        <v>474</v>
      </c>
    </row>
    <row r="115" spans="1:13" ht="192" x14ac:dyDescent="0.2">
      <c r="A115" s="95"/>
      <c r="B115" s="95"/>
      <c r="C115" s="95"/>
      <c r="D115" s="95"/>
      <c r="E115" s="95" t="s">
        <v>17</v>
      </c>
      <c r="F115" s="138" t="s">
        <v>105</v>
      </c>
      <c r="G115" s="107"/>
      <c r="H115" s="134" t="s">
        <v>163</v>
      </c>
      <c r="I115" s="137" t="s">
        <v>88</v>
      </c>
      <c r="J115" s="177" t="s">
        <v>69</v>
      </c>
      <c r="K115" s="175">
        <f>IF(I115="A/B/C/D/E/F",IF(J115="A",100,IF(J115="B",80,IF(J115="C",60,IF(J115="D",40%,IF(J115="E",20%,IF(J115="F",10%,"Blm Diisi")))))))</f>
        <v>100</v>
      </c>
      <c r="L115" s="313" t="s">
        <v>106</v>
      </c>
      <c r="M115" s="138" t="s">
        <v>474</v>
      </c>
    </row>
    <row r="116" spans="1:13" ht="16" x14ac:dyDescent="0.2">
      <c r="A116" s="88"/>
      <c r="B116" s="88"/>
      <c r="C116" s="88"/>
      <c r="D116" s="181" t="s">
        <v>271</v>
      </c>
      <c r="E116" s="348" t="s">
        <v>273</v>
      </c>
      <c r="F116" s="349"/>
      <c r="G116" s="89">
        <v>40</v>
      </c>
      <c r="H116" s="90"/>
      <c r="I116" s="102"/>
      <c r="J116" s="89"/>
      <c r="K116" s="89">
        <f>AVERAGE(K117:K118)*G116%</f>
        <v>40</v>
      </c>
      <c r="L116" s="99"/>
      <c r="M116" s="138" t="s">
        <v>474</v>
      </c>
    </row>
    <row r="117" spans="1:13" ht="112" x14ac:dyDescent="0.2">
      <c r="A117" s="95"/>
      <c r="B117" s="95"/>
      <c r="C117" s="95"/>
      <c r="D117" s="95"/>
      <c r="E117" s="95" t="s">
        <v>17</v>
      </c>
      <c r="F117" s="135" t="s">
        <v>107</v>
      </c>
      <c r="G117" s="107"/>
      <c r="H117" s="117" t="s">
        <v>160</v>
      </c>
      <c r="I117" s="137" t="s">
        <v>108</v>
      </c>
      <c r="J117" s="177" t="s">
        <v>69</v>
      </c>
      <c r="K117" s="175">
        <f>IF(I117="A/B/C/D",IF(J117="A",100,IF(J117="B",75,IF(J117="C",50,IF(J117="D",25,"Blm Diisi")))))</f>
        <v>100</v>
      </c>
      <c r="L117" s="99" t="s">
        <v>109</v>
      </c>
      <c r="M117" s="138" t="s">
        <v>474</v>
      </c>
    </row>
    <row r="118" spans="1:13" ht="192" x14ac:dyDescent="0.2">
      <c r="A118" s="95"/>
      <c r="B118" s="95"/>
      <c r="C118" s="95"/>
      <c r="D118" s="95"/>
      <c r="E118" s="95" t="s">
        <v>21</v>
      </c>
      <c r="F118" s="99" t="s">
        <v>110</v>
      </c>
      <c r="G118" s="107"/>
      <c r="H118" s="113" t="s">
        <v>164</v>
      </c>
      <c r="I118" s="137" t="s">
        <v>88</v>
      </c>
      <c r="J118" s="177" t="s">
        <v>69</v>
      </c>
      <c r="K118" s="175">
        <f>IF(I118="A/B/C/D/E/F",IF(J118="A",100,IF(J118="B",80,IF(J118="C",60,IF(J118="D",40,IF(J118="E",20,IF(J118="F",10,"Blm Diisi")))))))</f>
        <v>100</v>
      </c>
      <c r="L118" s="99" t="s">
        <v>111</v>
      </c>
      <c r="M118" s="138" t="s">
        <v>474</v>
      </c>
    </row>
    <row r="119" spans="1:13" x14ac:dyDescent="0.2">
      <c r="A119" s="121"/>
      <c r="B119" s="121"/>
      <c r="C119" s="121" t="s">
        <v>92</v>
      </c>
      <c r="D119" s="352" t="s">
        <v>91</v>
      </c>
      <c r="E119" s="353"/>
      <c r="F119" s="354"/>
      <c r="G119" s="122">
        <f>G120+G122+G124</f>
        <v>100</v>
      </c>
      <c r="H119" s="123"/>
      <c r="I119" s="124"/>
      <c r="J119" s="122"/>
      <c r="K119" s="122">
        <f>K120+K122+K124</f>
        <v>100</v>
      </c>
      <c r="L119" s="267"/>
      <c r="M119" s="267"/>
    </row>
    <row r="120" spans="1:13" s="81" customFormat="1" ht="39.5" customHeight="1" x14ac:dyDescent="0.2">
      <c r="A120" s="88"/>
      <c r="B120" s="88"/>
      <c r="C120" s="202"/>
      <c r="D120" s="203" t="s">
        <v>248</v>
      </c>
      <c r="E120" s="365" t="s">
        <v>287</v>
      </c>
      <c r="F120" s="366"/>
      <c r="G120" s="206">
        <v>10</v>
      </c>
      <c r="H120" s="263"/>
      <c r="I120" s="264"/>
      <c r="J120" s="205"/>
      <c r="K120" s="205">
        <f>K121*G120%</f>
        <v>10</v>
      </c>
      <c r="L120" s="99"/>
      <c r="M120" s="92"/>
    </row>
    <row r="121" spans="1:13" ht="48" x14ac:dyDescent="0.2">
      <c r="A121" s="88"/>
      <c r="B121" s="88"/>
      <c r="C121" s="198"/>
      <c r="D121" s="200"/>
      <c r="E121" s="200" t="s">
        <v>17</v>
      </c>
      <c r="F121" s="261" t="s">
        <v>199</v>
      </c>
      <c r="G121" s="169"/>
      <c r="H121" s="127"/>
      <c r="I121" s="100" t="s">
        <v>19</v>
      </c>
      <c r="J121" s="97" t="s">
        <v>20</v>
      </c>
      <c r="K121" s="97">
        <f t="shared" ref="K121" si="10">IF(I121="Ya/Tidak",IF(J121="Ya",100,IF(J121="Tidak",0,"Blm Diisi")))</f>
        <v>100</v>
      </c>
      <c r="L121" s="99" t="s">
        <v>336</v>
      </c>
      <c r="M121" s="99" t="s">
        <v>15</v>
      </c>
    </row>
    <row r="122" spans="1:13" s="81" customFormat="1" x14ac:dyDescent="0.2">
      <c r="A122" s="88"/>
      <c r="B122" s="88"/>
      <c r="C122" s="202"/>
      <c r="D122" s="203" t="s">
        <v>268</v>
      </c>
      <c r="E122" s="367" t="s">
        <v>200</v>
      </c>
      <c r="F122" s="368"/>
      <c r="G122" s="206">
        <v>10</v>
      </c>
      <c r="H122" s="263"/>
      <c r="I122" s="264"/>
      <c r="J122" s="205"/>
      <c r="K122" s="205">
        <f>K123*G122%</f>
        <v>10</v>
      </c>
      <c r="L122" s="99"/>
      <c r="M122" s="92"/>
    </row>
    <row r="123" spans="1:13" ht="64" x14ac:dyDescent="0.2">
      <c r="A123" s="88"/>
      <c r="B123" s="88"/>
      <c r="C123" s="198"/>
      <c r="D123" s="200"/>
      <c r="E123" s="200" t="s">
        <v>17</v>
      </c>
      <c r="F123" s="261" t="s">
        <v>201</v>
      </c>
      <c r="G123" s="169"/>
      <c r="H123" s="127"/>
      <c r="I123" s="100" t="s">
        <v>19</v>
      </c>
      <c r="J123" s="97" t="s">
        <v>20</v>
      </c>
      <c r="K123" s="97">
        <f t="shared" ref="K123" si="11">IF(I123="Ya/Tidak",IF(J123="Ya",100,IF(J123="Tidak",0,"Blm Diisi")))</f>
        <v>100</v>
      </c>
      <c r="L123" s="99" t="s">
        <v>475</v>
      </c>
      <c r="M123" s="99" t="s">
        <v>15</v>
      </c>
    </row>
    <row r="124" spans="1:13" s="81" customFormat="1" x14ac:dyDescent="0.2">
      <c r="A124" s="88"/>
      <c r="B124" s="88"/>
      <c r="C124" s="202"/>
      <c r="D124" s="203" t="s">
        <v>269</v>
      </c>
      <c r="E124" s="367" t="s">
        <v>202</v>
      </c>
      <c r="F124" s="368"/>
      <c r="G124" s="284">
        <v>80</v>
      </c>
      <c r="H124" s="263"/>
      <c r="I124" s="204"/>
      <c r="J124" s="207"/>
      <c r="K124" s="206">
        <f>AVERAGE(K125:K127)*G124%</f>
        <v>80</v>
      </c>
      <c r="L124" s="99"/>
      <c r="M124" s="92"/>
    </row>
    <row r="125" spans="1:13" ht="64" x14ac:dyDescent="0.2">
      <c r="A125" s="88"/>
      <c r="B125" s="88"/>
      <c r="C125" s="172"/>
      <c r="D125" s="199"/>
      <c r="E125" s="95" t="s">
        <v>17</v>
      </c>
      <c r="F125" s="265" t="s">
        <v>203</v>
      </c>
      <c r="G125" s="285"/>
      <c r="H125" s="127" t="s">
        <v>265</v>
      </c>
      <c r="I125" s="126" t="s">
        <v>108</v>
      </c>
      <c r="J125" s="96" t="s">
        <v>69</v>
      </c>
      <c r="K125" s="173">
        <f>IF(J125="A",100,IF(J125="B",75,IF(J125="C",50,IF(J125="D",25,))))</f>
        <v>100</v>
      </c>
      <c r="L125" s="99" t="s">
        <v>337</v>
      </c>
      <c r="M125" s="99" t="s">
        <v>15</v>
      </c>
    </row>
    <row r="126" spans="1:13" ht="128" x14ac:dyDescent="0.2">
      <c r="A126" s="88"/>
      <c r="B126" s="88"/>
      <c r="C126" s="172"/>
      <c r="D126" s="96"/>
      <c r="E126" s="95" t="s">
        <v>21</v>
      </c>
      <c r="F126" s="265" t="s">
        <v>243</v>
      </c>
      <c r="G126" s="285"/>
      <c r="H126" s="127" t="s">
        <v>266</v>
      </c>
      <c r="I126" s="101" t="s">
        <v>108</v>
      </c>
      <c r="J126" s="96" t="s">
        <v>69</v>
      </c>
      <c r="K126" s="173">
        <f>IF(J126="A",100,IF(J126="B",75,IF(J126="C",50,IF(J126="D",25,))))</f>
        <v>100</v>
      </c>
      <c r="L126" s="99" t="s">
        <v>338</v>
      </c>
      <c r="M126" s="99" t="s">
        <v>15</v>
      </c>
    </row>
    <row r="127" spans="1:13" ht="80" x14ac:dyDescent="0.2">
      <c r="A127" s="88"/>
      <c r="B127" s="88"/>
      <c r="C127" s="172"/>
      <c r="D127" s="96"/>
      <c r="E127" s="95" t="s">
        <v>23</v>
      </c>
      <c r="F127" s="265" t="s">
        <v>204</v>
      </c>
      <c r="G127" s="285"/>
      <c r="H127" s="127" t="s">
        <v>267</v>
      </c>
      <c r="I127" s="101" t="s">
        <v>205</v>
      </c>
      <c r="J127" s="96" t="s">
        <v>69</v>
      </c>
      <c r="K127" s="173">
        <f>IF(J127="A",100,IF(J127="B",75,IF(J127="C",50,)))</f>
        <v>100</v>
      </c>
      <c r="L127" s="99" t="s">
        <v>339</v>
      </c>
      <c r="M127" s="99" t="s">
        <v>15</v>
      </c>
    </row>
    <row r="128" spans="1:13" ht="16" x14ac:dyDescent="0.2">
      <c r="A128" s="121"/>
      <c r="B128" s="121"/>
      <c r="C128" s="201" t="s">
        <v>94</v>
      </c>
      <c r="D128" s="369" t="s">
        <v>113</v>
      </c>
      <c r="E128" s="370"/>
      <c r="F128" s="371"/>
      <c r="G128" s="122">
        <v>100</v>
      </c>
      <c r="H128" s="128"/>
      <c r="I128" s="124"/>
      <c r="J128" s="122"/>
      <c r="K128" s="122">
        <f>K129</f>
        <v>100</v>
      </c>
      <c r="L128" s="267" t="s">
        <v>116</v>
      </c>
      <c r="M128" s="130"/>
    </row>
    <row r="129" spans="1:13" s="81" customFormat="1" x14ac:dyDescent="0.2">
      <c r="A129" s="88"/>
      <c r="B129" s="88"/>
      <c r="C129" s="88"/>
      <c r="D129" s="181" t="s">
        <v>251</v>
      </c>
      <c r="E129" s="348" t="s">
        <v>167</v>
      </c>
      <c r="F129" s="349"/>
      <c r="G129" s="89">
        <v>100</v>
      </c>
      <c r="H129" s="90"/>
      <c r="I129" s="102"/>
      <c r="J129" s="89"/>
      <c r="K129" s="89">
        <f>K130</f>
        <v>100</v>
      </c>
      <c r="L129" s="99"/>
      <c r="M129" s="92"/>
    </row>
    <row r="130" spans="1:13" ht="112" x14ac:dyDescent="0.2">
      <c r="A130" s="88"/>
      <c r="B130" s="88"/>
      <c r="C130" s="95"/>
      <c r="D130" s="168"/>
      <c r="E130" s="95" t="s">
        <v>17</v>
      </c>
      <c r="F130" s="99" t="s">
        <v>274</v>
      </c>
      <c r="G130" s="107"/>
      <c r="H130" s="113" t="s">
        <v>168</v>
      </c>
      <c r="I130" s="109" t="s">
        <v>14</v>
      </c>
      <c r="J130" s="107">
        <v>100</v>
      </c>
      <c r="K130" s="107">
        <f>IF(J130="","Blm diisi",J130)</f>
        <v>100</v>
      </c>
      <c r="L130" s="99" t="s">
        <v>340</v>
      </c>
      <c r="M130" s="99" t="s">
        <v>115</v>
      </c>
    </row>
    <row r="131" spans="1:13" ht="28.5" customHeight="1" x14ac:dyDescent="0.2">
      <c r="A131" s="121"/>
      <c r="B131" s="121"/>
      <c r="C131" s="201" t="s">
        <v>112</v>
      </c>
      <c r="D131" s="355" t="s">
        <v>118</v>
      </c>
      <c r="E131" s="356"/>
      <c r="F131" s="357"/>
      <c r="G131" s="122">
        <f>G132</f>
        <v>100</v>
      </c>
      <c r="H131" s="128"/>
      <c r="I131" s="124"/>
      <c r="J131" s="122"/>
      <c r="K131" s="122">
        <f>K132</f>
        <v>100</v>
      </c>
      <c r="L131" s="267"/>
      <c r="M131" s="130"/>
    </row>
    <row r="132" spans="1:13" s="329" customFormat="1" ht="30.5" customHeight="1" x14ac:dyDescent="0.2">
      <c r="A132" s="131"/>
      <c r="B132" s="131"/>
      <c r="C132" s="328"/>
      <c r="D132" s="92" t="s">
        <v>255</v>
      </c>
      <c r="E132" s="372" t="s">
        <v>119</v>
      </c>
      <c r="F132" s="351"/>
      <c r="G132" s="102">
        <v>100</v>
      </c>
      <c r="H132" s="90"/>
      <c r="I132" s="102"/>
      <c r="J132" s="102"/>
      <c r="K132" s="102">
        <f>AVERAGE(K133:K138)*G132%</f>
        <v>100</v>
      </c>
      <c r="L132" s="99"/>
      <c r="M132" s="92"/>
    </row>
    <row r="133" spans="1:13" ht="48" x14ac:dyDescent="0.2">
      <c r="A133" s="95"/>
      <c r="B133" s="95"/>
      <c r="C133" s="95"/>
      <c r="D133" s="95"/>
      <c r="E133" s="95" t="s">
        <v>17</v>
      </c>
      <c r="F133" s="135" t="s">
        <v>121</v>
      </c>
      <c r="G133" s="107"/>
      <c r="H133" s="117" t="s">
        <v>121</v>
      </c>
      <c r="I133" s="109" t="s">
        <v>14</v>
      </c>
      <c r="J133" s="107">
        <v>100</v>
      </c>
      <c r="K133" s="107">
        <f>IF(J133="","Blm diisi",J133)</f>
        <v>100</v>
      </c>
      <c r="L133" s="320" t="s">
        <v>343</v>
      </c>
      <c r="M133" s="138" t="s">
        <v>120</v>
      </c>
    </row>
    <row r="134" spans="1:13" ht="80" x14ac:dyDescent="0.2">
      <c r="A134" s="95"/>
      <c r="B134" s="95"/>
      <c r="C134" s="95"/>
      <c r="D134" s="95"/>
      <c r="E134" s="95" t="s">
        <v>21</v>
      </c>
      <c r="F134" s="135" t="s">
        <v>122</v>
      </c>
      <c r="G134" s="107"/>
      <c r="H134" s="117" t="s">
        <v>122</v>
      </c>
      <c r="I134" s="109" t="s">
        <v>14</v>
      </c>
      <c r="J134" s="107">
        <v>100</v>
      </c>
      <c r="K134" s="107">
        <f t="shared" ref="K134:K144" si="12">IF(J134="","Blm diisi",J134)</f>
        <v>100</v>
      </c>
      <c r="L134" s="320" t="s">
        <v>344</v>
      </c>
      <c r="M134" s="138" t="s">
        <v>120</v>
      </c>
    </row>
    <row r="135" spans="1:13" ht="64" x14ac:dyDescent="0.2">
      <c r="A135" s="95"/>
      <c r="B135" s="95"/>
      <c r="C135" s="95"/>
      <c r="D135" s="95"/>
      <c r="E135" s="95" t="s">
        <v>23</v>
      </c>
      <c r="F135" s="135" t="s">
        <v>123</v>
      </c>
      <c r="G135" s="107"/>
      <c r="H135" s="117" t="s">
        <v>123</v>
      </c>
      <c r="I135" s="109" t="s">
        <v>14</v>
      </c>
      <c r="J135" s="107">
        <v>100</v>
      </c>
      <c r="K135" s="107">
        <f t="shared" si="12"/>
        <v>100</v>
      </c>
      <c r="L135" s="320" t="s">
        <v>345</v>
      </c>
      <c r="M135" s="138" t="s">
        <v>120</v>
      </c>
    </row>
    <row r="136" spans="1:13" ht="80" x14ac:dyDescent="0.2">
      <c r="A136" s="95"/>
      <c r="B136" s="95"/>
      <c r="C136" s="95"/>
      <c r="D136" s="95"/>
      <c r="E136" s="110" t="s">
        <v>24</v>
      </c>
      <c r="F136" s="135" t="s">
        <v>124</v>
      </c>
      <c r="G136" s="107"/>
      <c r="H136" s="117" t="s">
        <v>124</v>
      </c>
      <c r="I136" s="109" t="s">
        <v>14</v>
      </c>
      <c r="J136" s="107">
        <v>100</v>
      </c>
      <c r="K136" s="107">
        <f t="shared" si="12"/>
        <v>100</v>
      </c>
      <c r="L136" s="320" t="s">
        <v>346</v>
      </c>
      <c r="M136" s="138" t="s">
        <v>120</v>
      </c>
    </row>
    <row r="137" spans="1:13" ht="64" x14ac:dyDescent="0.2">
      <c r="A137" s="95"/>
      <c r="B137" s="95"/>
      <c r="C137" s="95"/>
      <c r="D137" s="95"/>
      <c r="E137" s="110" t="s">
        <v>26</v>
      </c>
      <c r="F137" s="135" t="s">
        <v>125</v>
      </c>
      <c r="G137" s="107"/>
      <c r="H137" s="117" t="s">
        <v>125</v>
      </c>
      <c r="I137" s="109" t="s">
        <v>14</v>
      </c>
      <c r="J137" s="107">
        <v>100</v>
      </c>
      <c r="K137" s="107">
        <f t="shared" si="12"/>
        <v>100</v>
      </c>
      <c r="L137" s="320" t="s">
        <v>347</v>
      </c>
      <c r="M137" s="138" t="s">
        <v>120</v>
      </c>
    </row>
    <row r="138" spans="1:13" ht="64" x14ac:dyDescent="0.2">
      <c r="A138" s="95"/>
      <c r="B138" s="95"/>
      <c r="C138" s="95"/>
      <c r="D138" s="95"/>
      <c r="E138" s="110" t="s">
        <v>28</v>
      </c>
      <c r="F138" s="135" t="s">
        <v>169</v>
      </c>
      <c r="G138" s="107"/>
      <c r="H138" s="117" t="s">
        <v>125</v>
      </c>
      <c r="I138" s="109" t="s">
        <v>14</v>
      </c>
      <c r="J138" s="107">
        <v>100</v>
      </c>
      <c r="K138" s="107">
        <f t="shared" si="12"/>
        <v>100</v>
      </c>
      <c r="L138" s="320" t="s">
        <v>348</v>
      </c>
      <c r="M138" s="138" t="s">
        <v>120</v>
      </c>
    </row>
    <row r="139" spans="1:13" x14ac:dyDescent="0.2">
      <c r="A139" s="121"/>
      <c r="B139" s="121"/>
      <c r="C139" s="201" t="s">
        <v>117</v>
      </c>
      <c r="D139" s="352" t="s">
        <v>127</v>
      </c>
      <c r="E139" s="353"/>
      <c r="F139" s="354"/>
      <c r="G139" s="122">
        <v>100</v>
      </c>
      <c r="H139" s="128"/>
      <c r="I139" s="124"/>
      <c r="J139" s="122"/>
      <c r="K139" s="122">
        <f>K140</f>
        <v>100</v>
      </c>
      <c r="L139" s="316"/>
      <c r="M139" s="130"/>
    </row>
    <row r="140" spans="1:13" s="136" customFormat="1" ht="35" customHeight="1" x14ac:dyDescent="0.2">
      <c r="A140" s="88"/>
      <c r="B140" s="88"/>
      <c r="C140" s="94"/>
      <c r="D140" s="165" t="s">
        <v>256</v>
      </c>
      <c r="E140" s="350" t="s">
        <v>367</v>
      </c>
      <c r="F140" s="351"/>
      <c r="G140" s="89">
        <v>100</v>
      </c>
      <c r="H140" s="90"/>
      <c r="I140" s="102"/>
      <c r="J140" s="89"/>
      <c r="K140" s="89">
        <f>SUM(K141:K144)*G140%</f>
        <v>100</v>
      </c>
      <c r="L140" s="104"/>
      <c r="M140" s="92"/>
    </row>
    <row r="141" spans="1:13" ht="32" x14ac:dyDescent="0.2">
      <c r="A141" s="88"/>
      <c r="B141" s="88"/>
      <c r="C141" s="95"/>
      <c r="D141" s="168"/>
      <c r="E141" s="95" t="s">
        <v>17</v>
      </c>
      <c r="F141" s="99" t="s">
        <v>128</v>
      </c>
      <c r="G141" s="107"/>
      <c r="H141" s="113" t="s">
        <v>129</v>
      </c>
      <c r="I141" s="109" t="s">
        <v>66</v>
      </c>
      <c r="J141" s="107">
        <v>25</v>
      </c>
      <c r="K141" s="107">
        <f t="shared" si="12"/>
        <v>25</v>
      </c>
      <c r="L141" s="341" t="s">
        <v>476</v>
      </c>
      <c r="M141" s="412" t="s">
        <v>156</v>
      </c>
    </row>
    <row r="142" spans="1:13" ht="32" x14ac:dyDescent="0.2">
      <c r="A142" s="88"/>
      <c r="B142" s="88"/>
      <c r="C142" s="95"/>
      <c r="D142" s="168"/>
      <c r="E142" s="95" t="s">
        <v>21</v>
      </c>
      <c r="F142" s="99" t="s">
        <v>130</v>
      </c>
      <c r="G142" s="107"/>
      <c r="H142" s="113" t="s">
        <v>131</v>
      </c>
      <c r="I142" s="109" t="s">
        <v>132</v>
      </c>
      <c r="J142" s="107">
        <v>40</v>
      </c>
      <c r="K142" s="107">
        <f t="shared" si="12"/>
        <v>40</v>
      </c>
      <c r="L142" s="341"/>
      <c r="M142" s="413"/>
    </row>
    <row r="143" spans="1:13" ht="32" x14ac:dyDescent="0.2">
      <c r="A143" s="88"/>
      <c r="B143" s="88"/>
      <c r="C143" s="95"/>
      <c r="D143" s="168"/>
      <c r="E143" s="95" t="s">
        <v>23</v>
      </c>
      <c r="F143" s="99" t="s">
        <v>133</v>
      </c>
      <c r="G143" s="107"/>
      <c r="H143" s="113" t="s">
        <v>134</v>
      </c>
      <c r="I143" s="109" t="s">
        <v>60</v>
      </c>
      <c r="J143" s="107">
        <v>30</v>
      </c>
      <c r="K143" s="107">
        <f t="shared" si="12"/>
        <v>30</v>
      </c>
      <c r="L143" s="341"/>
      <c r="M143" s="413"/>
    </row>
    <row r="144" spans="1:13" ht="32" x14ac:dyDescent="0.2">
      <c r="A144" s="88"/>
      <c r="B144" s="88"/>
      <c r="C144" s="95"/>
      <c r="D144" s="168"/>
      <c r="E144" s="110" t="s">
        <v>24</v>
      </c>
      <c r="F144" s="99" t="s">
        <v>135</v>
      </c>
      <c r="G144" s="107"/>
      <c r="H144" s="113" t="s">
        <v>136</v>
      </c>
      <c r="I144" s="109" t="s">
        <v>137</v>
      </c>
      <c r="J144" s="107">
        <v>5</v>
      </c>
      <c r="K144" s="107">
        <f t="shared" si="12"/>
        <v>5</v>
      </c>
      <c r="L144" s="341"/>
      <c r="M144" s="414"/>
    </row>
    <row r="145" spans="1:13" x14ac:dyDescent="0.2">
      <c r="A145" s="82"/>
      <c r="B145" s="82" t="s">
        <v>138</v>
      </c>
      <c r="C145" s="373" t="s">
        <v>139</v>
      </c>
      <c r="D145" s="374"/>
      <c r="E145" s="374"/>
      <c r="F145" s="375"/>
      <c r="G145" s="83">
        <f>AVERAGE(G146,G149)</f>
        <v>100</v>
      </c>
      <c r="H145" s="84"/>
      <c r="I145" s="248"/>
      <c r="J145" s="83"/>
      <c r="K145" s="83">
        <f>AVERAGE(K146,K149)</f>
        <v>100</v>
      </c>
      <c r="L145" s="86"/>
      <c r="M145" s="86"/>
    </row>
    <row r="146" spans="1:13" s="211" customFormat="1" x14ac:dyDescent="0.2">
      <c r="A146" s="121"/>
      <c r="B146" s="121"/>
      <c r="C146" s="121" t="s">
        <v>11</v>
      </c>
      <c r="D146" s="364" t="s">
        <v>140</v>
      </c>
      <c r="E146" s="364"/>
      <c r="F146" s="364"/>
      <c r="G146" s="122">
        <f>G147</f>
        <v>100</v>
      </c>
      <c r="H146" s="266"/>
      <c r="I146" s="250"/>
      <c r="J146" s="122"/>
      <c r="K146" s="122">
        <f>K147</f>
        <v>100</v>
      </c>
      <c r="L146" s="267"/>
      <c r="M146" s="267"/>
    </row>
    <row r="147" spans="1:13" s="136" customFormat="1" x14ac:dyDescent="0.2">
      <c r="A147" s="88"/>
      <c r="B147" s="88"/>
      <c r="C147" s="88"/>
      <c r="D147" s="88" t="s">
        <v>244</v>
      </c>
      <c r="E147" s="348" t="s">
        <v>275</v>
      </c>
      <c r="F147" s="349"/>
      <c r="G147" s="89">
        <v>100</v>
      </c>
      <c r="H147" s="117"/>
      <c r="I147" s="131"/>
      <c r="J147" s="89"/>
      <c r="K147" s="89">
        <f>K148*G147%</f>
        <v>100</v>
      </c>
      <c r="L147" s="99"/>
      <c r="M147" s="99"/>
    </row>
    <row r="148" spans="1:13" ht="48" x14ac:dyDescent="0.2">
      <c r="A148" s="95"/>
      <c r="B148" s="95"/>
      <c r="C148" s="185"/>
      <c r="D148" s="185"/>
      <c r="E148" s="170" t="s">
        <v>17</v>
      </c>
      <c r="F148" s="133" t="s">
        <v>141</v>
      </c>
      <c r="G148" s="107"/>
      <c r="H148" s="117" t="s">
        <v>351</v>
      </c>
      <c r="I148" s="109" t="s">
        <v>19</v>
      </c>
      <c r="J148" s="216" t="s">
        <v>20</v>
      </c>
      <c r="K148" s="107">
        <f>IF(I148="Ya/Tidak",IF(J148="Ya",100,IF(J148="Tidak",0,"Blm Diisi")))</f>
        <v>100</v>
      </c>
      <c r="L148" s="117" t="s">
        <v>356</v>
      </c>
      <c r="M148" s="132" t="s">
        <v>142</v>
      </c>
    </row>
    <row r="149" spans="1:13" s="105" customFormat="1" ht="29.5" customHeight="1" x14ac:dyDescent="0.2">
      <c r="A149" s="121"/>
      <c r="B149" s="121"/>
      <c r="C149" s="201" t="s">
        <v>81</v>
      </c>
      <c r="D149" s="355" t="s">
        <v>143</v>
      </c>
      <c r="E149" s="356"/>
      <c r="F149" s="357"/>
      <c r="G149" s="122">
        <f>G150</f>
        <v>100</v>
      </c>
      <c r="H149" s="268"/>
      <c r="I149" s="124"/>
      <c r="J149" s="239"/>
      <c r="K149" s="122">
        <f>K150</f>
        <v>100</v>
      </c>
      <c r="L149" s="266"/>
      <c r="M149" s="250"/>
    </row>
    <row r="150" spans="1:13" ht="33" customHeight="1" x14ac:dyDescent="0.2">
      <c r="A150" s="95"/>
      <c r="B150" s="95"/>
      <c r="C150" s="168"/>
      <c r="D150" s="88" t="s">
        <v>247</v>
      </c>
      <c r="E150" s="361" t="s">
        <v>144</v>
      </c>
      <c r="F150" s="362"/>
      <c r="G150" s="89">
        <v>100</v>
      </c>
      <c r="H150" s="269"/>
      <c r="I150" s="109"/>
      <c r="J150" s="216"/>
      <c r="K150" s="89">
        <f>K151*G150%</f>
        <v>100</v>
      </c>
      <c r="L150" s="117"/>
      <c r="M150" s="132"/>
    </row>
    <row r="151" spans="1:13" ht="64" x14ac:dyDescent="0.2">
      <c r="A151" s="95"/>
      <c r="B151" s="95"/>
      <c r="C151" s="168"/>
      <c r="D151" s="168"/>
      <c r="E151" s="95" t="s">
        <v>17</v>
      </c>
      <c r="F151" s="99" t="s">
        <v>276</v>
      </c>
      <c r="G151" s="107"/>
      <c r="H151" s="117" t="s">
        <v>350</v>
      </c>
      <c r="I151" s="109" t="s">
        <v>14</v>
      </c>
      <c r="J151" s="107">
        <v>100</v>
      </c>
      <c r="K151" s="107">
        <f t="shared" ref="K151" si="13">IF(J151="","Blm diisi",J151)</f>
        <v>100</v>
      </c>
      <c r="L151" s="117" t="s">
        <v>357</v>
      </c>
      <c r="M151" s="132" t="s">
        <v>142</v>
      </c>
    </row>
    <row r="152" spans="1:13" ht="27.5" customHeight="1" x14ac:dyDescent="0.2">
      <c r="A152" s="139" t="s">
        <v>145</v>
      </c>
      <c r="B152" s="358" t="s">
        <v>146</v>
      </c>
      <c r="C152" s="359"/>
      <c r="D152" s="359"/>
      <c r="E152" s="359"/>
      <c r="F152" s="360"/>
      <c r="G152" s="140">
        <f>AVERAGE(G153,G160)</f>
        <v>100</v>
      </c>
      <c r="H152" s="141"/>
      <c r="I152" s="270"/>
      <c r="J152" s="139"/>
      <c r="K152" s="140">
        <f>AVERAGE(K153,K160)</f>
        <v>100</v>
      </c>
      <c r="L152" s="142"/>
      <c r="M152" s="142"/>
    </row>
    <row r="153" spans="1:13" ht="27.5" customHeight="1" x14ac:dyDescent="0.2">
      <c r="A153" s="143"/>
      <c r="B153" s="143" t="s">
        <v>9</v>
      </c>
      <c r="C153" s="345" t="s">
        <v>147</v>
      </c>
      <c r="D153" s="346"/>
      <c r="E153" s="346"/>
      <c r="F153" s="347"/>
      <c r="G153" s="144">
        <f>AVERAGE(G154,G157)</f>
        <v>100</v>
      </c>
      <c r="H153" s="145"/>
      <c r="I153" s="271" t="s">
        <v>14</v>
      </c>
      <c r="J153" s="144"/>
      <c r="K153" s="144">
        <f>AVERAGE(K154,K157)</f>
        <v>100</v>
      </c>
      <c r="L153" s="146"/>
      <c r="M153" s="146"/>
    </row>
    <row r="154" spans="1:13" s="240" customFormat="1" ht="27.5" customHeight="1" x14ac:dyDescent="0.2">
      <c r="A154" s="231"/>
      <c r="B154" s="231"/>
      <c r="C154" s="231" t="s">
        <v>11</v>
      </c>
      <c r="D154" s="363" t="s">
        <v>148</v>
      </c>
      <c r="E154" s="363"/>
      <c r="F154" s="363"/>
      <c r="G154" s="238">
        <f>G155</f>
        <v>100</v>
      </c>
      <c r="H154" s="273"/>
      <c r="I154" s="272"/>
      <c r="J154" s="238"/>
      <c r="K154" s="238">
        <f>K155</f>
        <v>100</v>
      </c>
      <c r="L154" s="273"/>
      <c r="M154" s="274"/>
    </row>
    <row r="155" spans="1:13" ht="27.5" customHeight="1" x14ac:dyDescent="0.2">
      <c r="A155" s="217"/>
      <c r="B155" s="217"/>
      <c r="C155" s="217"/>
      <c r="D155" s="217" t="s">
        <v>244</v>
      </c>
      <c r="E155" s="337" t="s">
        <v>277</v>
      </c>
      <c r="F155" s="338"/>
      <c r="G155" s="220">
        <v>100</v>
      </c>
      <c r="H155" s="150"/>
      <c r="I155" s="275"/>
      <c r="J155" s="220"/>
      <c r="K155" s="220">
        <f>K156*G155%</f>
        <v>100</v>
      </c>
      <c r="L155" s="150"/>
      <c r="M155" s="151"/>
    </row>
    <row r="156" spans="1:13" ht="48" x14ac:dyDescent="0.2">
      <c r="A156" s="147"/>
      <c r="B156" s="147"/>
      <c r="C156" s="221"/>
      <c r="D156" s="221"/>
      <c r="E156" s="222" t="s">
        <v>17</v>
      </c>
      <c r="F156" s="149" t="s">
        <v>278</v>
      </c>
      <c r="G156" s="148"/>
      <c r="H156" s="150" t="s">
        <v>352</v>
      </c>
      <c r="I156" s="154" t="s">
        <v>19</v>
      </c>
      <c r="J156" s="223" t="s">
        <v>20</v>
      </c>
      <c r="K156" s="148">
        <f>IF(I156="Ya/Tidak",IF(J156="Ya",100,IF(J156="Tidak",0,"Blm Diisi")))</f>
        <v>100</v>
      </c>
      <c r="L156" s="150" t="s">
        <v>358</v>
      </c>
      <c r="M156" s="151" t="s">
        <v>142</v>
      </c>
    </row>
    <row r="157" spans="1:13" s="240" customFormat="1" ht="34" customHeight="1" x14ac:dyDescent="0.2">
      <c r="A157" s="231"/>
      <c r="B157" s="231"/>
      <c r="C157" s="241" t="s">
        <v>81</v>
      </c>
      <c r="D157" s="342" t="s">
        <v>149</v>
      </c>
      <c r="E157" s="343"/>
      <c r="F157" s="344"/>
      <c r="G157" s="238">
        <f>G158</f>
        <v>100</v>
      </c>
      <c r="H157" s="273"/>
      <c r="I157" s="236"/>
      <c r="J157" s="242"/>
      <c r="K157" s="238">
        <f>K158</f>
        <v>100</v>
      </c>
      <c r="L157" s="273"/>
      <c r="M157" s="274"/>
    </row>
    <row r="158" spans="1:13" ht="32.5" customHeight="1" x14ac:dyDescent="0.2">
      <c r="A158" s="147"/>
      <c r="B158" s="147"/>
      <c r="C158" s="225"/>
      <c r="D158" s="217" t="s">
        <v>247</v>
      </c>
      <c r="E158" s="377" t="s">
        <v>150</v>
      </c>
      <c r="F158" s="378"/>
      <c r="G158" s="220">
        <v>100</v>
      </c>
      <c r="H158" s="150"/>
      <c r="I158" s="154"/>
      <c r="J158" s="223"/>
      <c r="K158" s="220">
        <f>K159*G158%</f>
        <v>100</v>
      </c>
      <c r="L158" s="150"/>
      <c r="M158" s="151"/>
    </row>
    <row r="159" spans="1:13" ht="64" x14ac:dyDescent="0.2">
      <c r="A159" s="147"/>
      <c r="B159" s="147"/>
      <c r="C159" s="225"/>
      <c r="D159" s="225"/>
      <c r="E159" s="147" t="s">
        <v>17</v>
      </c>
      <c r="F159" s="276" t="s">
        <v>279</v>
      </c>
      <c r="G159" s="148"/>
      <c r="H159" s="150" t="s">
        <v>349</v>
      </c>
      <c r="I159" s="154" t="s">
        <v>14</v>
      </c>
      <c r="J159" s="148">
        <v>100</v>
      </c>
      <c r="K159" s="148">
        <f t="shared" ref="K159" si="14">IF(J159="","Blm diisi",J159)</f>
        <v>100</v>
      </c>
      <c r="L159" s="150" t="s">
        <v>359</v>
      </c>
      <c r="M159" s="151" t="s">
        <v>142</v>
      </c>
    </row>
    <row r="160" spans="1:13" ht="29.5" customHeight="1" x14ac:dyDescent="0.2">
      <c r="A160" s="143"/>
      <c r="B160" s="143" t="s">
        <v>89</v>
      </c>
      <c r="C160" s="345" t="s">
        <v>151</v>
      </c>
      <c r="D160" s="346"/>
      <c r="E160" s="346"/>
      <c r="F160" s="347"/>
      <c r="G160" s="144">
        <f>AVERAGE(G161,G164,G167)</f>
        <v>100</v>
      </c>
      <c r="H160" s="145"/>
      <c r="I160" s="271"/>
      <c r="J160" s="144"/>
      <c r="K160" s="144">
        <f>AVERAGE(K161,K164,K167)</f>
        <v>100</v>
      </c>
      <c r="L160" s="152"/>
      <c r="M160" s="152"/>
    </row>
    <row r="161" spans="1:13" s="234" customFormat="1" ht="29.5" customHeight="1" x14ac:dyDescent="0.2">
      <c r="A161" s="231"/>
      <c r="B161" s="231"/>
      <c r="C161" s="231" t="s">
        <v>11</v>
      </c>
      <c r="D161" s="382" t="s">
        <v>152</v>
      </c>
      <c r="E161" s="383"/>
      <c r="F161" s="384"/>
      <c r="G161" s="286">
        <f>G162</f>
        <v>100</v>
      </c>
      <c r="H161" s="277"/>
      <c r="I161" s="278"/>
      <c r="J161" s="233"/>
      <c r="K161" s="232">
        <f>K162</f>
        <v>100</v>
      </c>
      <c r="L161" s="273"/>
      <c r="M161" s="272"/>
    </row>
    <row r="162" spans="1:13" s="81" customFormat="1" ht="38.5" customHeight="1" x14ac:dyDescent="0.2">
      <c r="A162" s="217"/>
      <c r="B162" s="217"/>
      <c r="C162" s="217"/>
      <c r="D162" s="217" t="s">
        <v>244</v>
      </c>
      <c r="E162" s="379" t="s">
        <v>281</v>
      </c>
      <c r="F162" s="380"/>
      <c r="G162" s="220">
        <v>100</v>
      </c>
      <c r="H162" s="279"/>
      <c r="I162" s="219"/>
      <c r="J162" s="224"/>
      <c r="K162" s="220">
        <f>K163</f>
        <v>100</v>
      </c>
      <c r="L162" s="150"/>
      <c r="M162" s="275"/>
    </row>
    <row r="163" spans="1:13" ht="64" x14ac:dyDescent="0.2">
      <c r="A163" s="147"/>
      <c r="B163" s="147"/>
      <c r="C163" s="147"/>
      <c r="D163" s="147"/>
      <c r="E163" s="147" t="s">
        <v>17</v>
      </c>
      <c r="F163" s="150" t="s">
        <v>280</v>
      </c>
      <c r="G163" s="148"/>
      <c r="H163" s="150" t="s">
        <v>477</v>
      </c>
      <c r="I163" s="280" t="s">
        <v>74</v>
      </c>
      <c r="J163" s="230">
        <v>100</v>
      </c>
      <c r="K163" s="229">
        <f>IF(I163="%",IF(J163="","Blm Diisi",J163))</f>
        <v>100</v>
      </c>
      <c r="L163" s="150"/>
      <c r="M163" s="151" t="s">
        <v>142</v>
      </c>
    </row>
    <row r="164" spans="1:13" s="234" customFormat="1" ht="29.5" customHeight="1" x14ac:dyDescent="0.2">
      <c r="A164" s="231"/>
      <c r="B164" s="231"/>
      <c r="C164" s="231" t="s">
        <v>81</v>
      </c>
      <c r="D164" s="382" t="s">
        <v>153</v>
      </c>
      <c r="E164" s="383"/>
      <c r="F164" s="384"/>
      <c r="G164" s="238">
        <f>G165</f>
        <v>100</v>
      </c>
      <c r="H164" s="237"/>
      <c r="I164" s="236"/>
      <c r="J164" s="238"/>
      <c r="K164" s="238">
        <f>K165</f>
        <v>100</v>
      </c>
      <c r="L164" s="273"/>
      <c r="M164" s="272"/>
    </row>
    <row r="165" spans="1:13" s="81" customFormat="1" ht="29.5" customHeight="1" x14ac:dyDescent="0.2">
      <c r="A165" s="217"/>
      <c r="B165" s="217"/>
      <c r="C165" s="217"/>
      <c r="D165" s="217" t="s">
        <v>247</v>
      </c>
      <c r="E165" s="337" t="s">
        <v>282</v>
      </c>
      <c r="F165" s="338"/>
      <c r="G165" s="220">
        <v>100</v>
      </c>
      <c r="H165" s="281"/>
      <c r="I165" s="219"/>
      <c r="J165" s="220"/>
      <c r="K165" s="220">
        <f>K166</f>
        <v>100</v>
      </c>
      <c r="L165" s="150"/>
      <c r="M165" s="275"/>
    </row>
    <row r="166" spans="1:13" ht="350" x14ac:dyDescent="0.2">
      <c r="A166" s="147"/>
      <c r="B166" s="147"/>
      <c r="C166" s="147"/>
      <c r="D166" s="147"/>
      <c r="E166" s="147" t="s">
        <v>17</v>
      </c>
      <c r="F166" s="150" t="s">
        <v>283</v>
      </c>
      <c r="G166" s="155"/>
      <c r="H166" s="153" t="s">
        <v>165</v>
      </c>
      <c r="I166" s="154" t="s">
        <v>354</v>
      </c>
      <c r="J166" s="148">
        <v>100</v>
      </c>
      <c r="K166" s="148">
        <f>IF(J166="","Blm diisi",J166)</f>
        <v>100</v>
      </c>
      <c r="L166" s="150" t="s">
        <v>341</v>
      </c>
      <c r="M166" s="151" t="s">
        <v>353</v>
      </c>
    </row>
    <row r="167" spans="1:13" s="234" customFormat="1" x14ac:dyDescent="0.2">
      <c r="A167" s="231"/>
      <c r="B167" s="231"/>
      <c r="C167" s="231" t="s">
        <v>92</v>
      </c>
      <c r="D167" s="382" t="s">
        <v>286</v>
      </c>
      <c r="E167" s="383"/>
      <c r="F167" s="384"/>
      <c r="G167" s="238">
        <f>G168</f>
        <v>100</v>
      </c>
      <c r="H167" s="237"/>
      <c r="I167" s="236"/>
      <c r="J167" s="238"/>
      <c r="K167" s="238">
        <f>K168</f>
        <v>100</v>
      </c>
      <c r="L167" s="273"/>
      <c r="M167" s="272"/>
    </row>
    <row r="168" spans="1:13" s="81" customFormat="1" x14ac:dyDescent="0.2">
      <c r="A168" s="217"/>
      <c r="B168" s="217"/>
      <c r="C168" s="218"/>
      <c r="D168" s="217" t="s">
        <v>248</v>
      </c>
      <c r="E168" s="381" t="s">
        <v>285</v>
      </c>
      <c r="F168" s="381"/>
      <c r="G168" s="220">
        <v>100</v>
      </c>
      <c r="H168" s="235"/>
      <c r="I168" s="219"/>
      <c r="J168" s="220"/>
      <c r="K168" s="220">
        <f>K169</f>
        <v>100</v>
      </c>
      <c r="L168" s="317"/>
      <c r="M168" s="282"/>
    </row>
    <row r="169" spans="1:13" ht="305" thickBot="1" x14ac:dyDescent="0.25">
      <c r="A169" s="147"/>
      <c r="B169" s="147"/>
      <c r="C169" s="178"/>
      <c r="D169" s="178"/>
      <c r="E169" s="226" t="s">
        <v>17</v>
      </c>
      <c r="F169" s="227" t="s">
        <v>284</v>
      </c>
      <c r="G169" s="287"/>
      <c r="H169" s="228" t="s">
        <v>162</v>
      </c>
      <c r="I169" s="154" t="s">
        <v>355</v>
      </c>
      <c r="J169" s="148">
        <v>100</v>
      </c>
      <c r="K169" s="148">
        <f>IF(J169="","Blm diisi",J169)</f>
        <v>100</v>
      </c>
      <c r="L169" s="150" t="s">
        <v>342</v>
      </c>
      <c r="M169" s="151" t="s">
        <v>353</v>
      </c>
    </row>
    <row r="170" spans="1:13" ht="113" thickBot="1" x14ac:dyDescent="0.25">
      <c r="A170" s="376" t="s">
        <v>154</v>
      </c>
      <c r="B170" s="376"/>
      <c r="C170" s="376"/>
      <c r="D170" s="376"/>
      <c r="E170" s="376"/>
      <c r="F170" s="376"/>
      <c r="G170" s="156">
        <f>AVERAGE(G3,G160)</f>
        <v>100</v>
      </c>
      <c r="H170" s="157"/>
      <c r="I170" s="283"/>
      <c r="J170" s="158"/>
      <c r="K170" s="156">
        <f>AVERAGE(K3,K160)</f>
        <v>100</v>
      </c>
      <c r="L170" s="318" t="s">
        <v>158</v>
      </c>
      <c r="M170" s="159"/>
    </row>
    <row r="171" spans="1:13" ht="16" x14ac:dyDescent="0.2">
      <c r="H171" s="161" t="s">
        <v>166</v>
      </c>
    </row>
  </sheetData>
  <protectedRanges>
    <protectedRange algorithmName="SHA-512" hashValue="nC9JQ+K7KR9y5CAYlgAqjtrMdlrf05mJ53pwXVibVdsBf4k/xE7W2ZWRSr8O92CGTksqR2n0UaRBukvoLxbBFQ==" saltValue="D1b+Kl0WBvQ7ezeHwK73wg==" spinCount="100000" sqref="J164:J165 J167:J168" name="JAWABAN_1"/>
    <protectedRange algorithmName="SHA-512" hashValue="nC9JQ+K7KR9y5CAYlgAqjtrMdlrf05mJ53pwXVibVdsBf4k/xE7W2ZWRSr8O92CGTksqR2n0UaRBukvoLxbBFQ==" saltValue="D1b+Kl0WBvQ7ezeHwK73wg==" spinCount="100000" sqref="J81 J87 J94 J99 J104 J70:J71" name="JAWABAN_2"/>
    <protectedRange algorithmName="SHA-512" hashValue="nC9JQ+K7KR9y5CAYlgAqjtrMdlrf05mJ53pwXVibVdsBf4k/xE7W2ZWRSr8O92CGTksqR2n0UaRBukvoLxbBFQ==" saltValue="D1b+Kl0WBvQ7ezeHwK73wg==" spinCount="100000" sqref="J119:J127" name="JAWABAN_4"/>
    <protectedRange algorithmName="SHA-512" hashValue="nC9JQ+K7KR9y5CAYlgAqjtrMdlrf05mJ53pwXVibVdsBf4k/xE7W2ZWRSr8O92CGTksqR2n0UaRBukvoLxbBFQ==" saltValue="D1b+Kl0WBvQ7ezeHwK73wg==" spinCount="100000" sqref="J58 J56" name="JAWABAN"/>
  </protectedRanges>
  <mergeCells count="68">
    <mergeCell ref="M141:M144"/>
    <mergeCell ref="M44:M47"/>
    <mergeCell ref="E71:F71"/>
    <mergeCell ref="D42:F42"/>
    <mergeCell ref="D66:F66"/>
    <mergeCell ref="C69:F69"/>
    <mergeCell ref="D70:F70"/>
    <mergeCell ref="E116:F116"/>
    <mergeCell ref="D119:F119"/>
    <mergeCell ref="E67:F67"/>
    <mergeCell ref="E64:F64"/>
    <mergeCell ref="E109:F109"/>
    <mergeCell ref="E114:F114"/>
    <mergeCell ref="L72:L80"/>
    <mergeCell ref="E22:F22"/>
    <mergeCell ref="D51:F51"/>
    <mergeCell ref="D60:F60"/>
    <mergeCell ref="D63:F63"/>
    <mergeCell ref="E37:F37"/>
    <mergeCell ref="E43:F43"/>
    <mergeCell ref="E52:F52"/>
    <mergeCell ref="E58:F58"/>
    <mergeCell ref="D48:F48"/>
    <mergeCell ref="E49:F49"/>
    <mergeCell ref="D55:F55"/>
    <mergeCell ref="E61:F61"/>
    <mergeCell ref="E56:F56"/>
    <mergeCell ref="A1:F1"/>
    <mergeCell ref="A2:F2"/>
    <mergeCell ref="B3:F3"/>
    <mergeCell ref="E6:F6"/>
    <mergeCell ref="D5:F5"/>
    <mergeCell ref="A170:F170"/>
    <mergeCell ref="E158:F158"/>
    <mergeCell ref="E162:F162"/>
    <mergeCell ref="E168:F168"/>
    <mergeCell ref="D167:F167"/>
    <mergeCell ref="D164:F164"/>
    <mergeCell ref="E165:F165"/>
    <mergeCell ref="D161:F161"/>
    <mergeCell ref="D154:F154"/>
    <mergeCell ref="D146:F146"/>
    <mergeCell ref="E120:F120"/>
    <mergeCell ref="E122:F122"/>
    <mergeCell ref="E124:F124"/>
    <mergeCell ref="D128:F128"/>
    <mergeCell ref="E129:F129"/>
    <mergeCell ref="D131:F131"/>
    <mergeCell ref="D139:F139"/>
    <mergeCell ref="E132:F132"/>
    <mergeCell ref="E140:F140"/>
    <mergeCell ref="C145:F145"/>
    <mergeCell ref="E155:F155"/>
    <mergeCell ref="L44:L47"/>
    <mergeCell ref="L141:L144"/>
    <mergeCell ref="D157:F157"/>
    <mergeCell ref="C160:F160"/>
    <mergeCell ref="E147:F147"/>
    <mergeCell ref="E87:F87"/>
    <mergeCell ref="D108:F108"/>
    <mergeCell ref="E81:F81"/>
    <mergeCell ref="E94:F94"/>
    <mergeCell ref="E99:F99"/>
    <mergeCell ref="E104:F104"/>
    <mergeCell ref="D149:F149"/>
    <mergeCell ref="C153:F153"/>
    <mergeCell ref="B152:F152"/>
    <mergeCell ref="E150:F150"/>
  </mergeCells>
  <phoneticPr fontId="9" type="noConversion"/>
  <dataValidations count="5">
    <dataValidation type="list" allowBlank="1" showErrorMessage="1" sqref="J117 J7 J9:J11 J125:J126" xr:uid="{95A0F890-9BE7-45B0-9179-830C45EE6697}">
      <formula1>"A,B,C,D"</formula1>
    </dataValidation>
    <dataValidation type="list" allowBlank="1" showErrorMessage="1" sqref="J118:J126 J66:J68 J114:J115 J105:J107 J100:J103 J95:J98 J88:J93 J82:J86 J72:J80" xr:uid="{1D32F84D-DB5D-4105-8B83-ADC6FC1751CC}">
      <formula1>"A,B,C,D,E,F"</formula1>
    </dataValidation>
    <dataValidation type="list" allowBlank="1" showErrorMessage="1" sqref="J48:J50 J41" xr:uid="{EE1D32CB-0C2A-4D70-B678-285EA902B04B}">
      <formula1>"A,B,C,D,E"</formula1>
    </dataValidation>
    <dataValidation type="list" allowBlank="1" showErrorMessage="1" sqref="J148 J120:J123 J156 J110:J113 J12:J21 J8 J23:J36" xr:uid="{06CE46C6-70B5-47A1-9BE4-C56BEA46366A}">
      <formula1>"Ya,Tidak"</formula1>
    </dataValidation>
    <dataValidation type="list" allowBlank="1" showErrorMessage="1" sqref="J127" xr:uid="{0507ECD1-44D8-4916-94C1-4E216B7BDCDF}">
      <formula1>"A,B,C"</formula1>
    </dataValidation>
  </dataValidations>
  <printOptions horizontalCentered="1"/>
  <pageMargins left="0.39370078740157483" right="0.39370078740157483" top="0.39370078740157483" bottom="0.39370078740157483" header="0" footer="0"/>
  <pageSetup paperSize="14" scale="39" orientation="landscape" r:id="rId1"/>
  <rowBreaks count="6" manualBreakCount="6">
    <brk id="21" max="12" man="1"/>
    <brk id="41" max="12" man="1"/>
    <brk id="104" max="12" man="1"/>
    <brk id="116" max="12" man="1"/>
    <brk id="157" max="12" man="1"/>
    <brk id="166" max="12" man="1"/>
  </rowBreaks>
  <colBreaks count="1" manualBreakCount="1">
    <brk id="13" max="1048575"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F57E5-37A0-4D18-B4CA-C77647D77327}">
  <dimension ref="A1:BT41"/>
  <sheetViews>
    <sheetView tabSelected="1" zoomScaleNormal="60" workbookViewId="0">
      <selection activeCell="L7" sqref="L7"/>
    </sheetView>
  </sheetViews>
  <sheetFormatPr baseColWidth="10" defaultColWidth="8.83203125" defaultRowHeight="15" x14ac:dyDescent="0.2"/>
  <cols>
    <col min="1" max="1" width="5" customWidth="1"/>
    <col min="2" max="2" width="6" customWidth="1"/>
    <col min="3" max="3" width="4.33203125" customWidth="1"/>
    <col min="4" max="4" width="4.6640625" customWidth="1"/>
    <col min="5" max="5" width="5.33203125" customWidth="1"/>
    <col min="6" max="6" width="38.1640625" customWidth="1"/>
    <col min="8" max="8" width="42.33203125" customWidth="1"/>
    <col min="9" max="9" width="12.6640625" customWidth="1"/>
    <col min="10" max="10" width="10.5" customWidth="1"/>
    <col min="12" max="12" width="29.5" customWidth="1"/>
    <col min="13" max="13" width="23.1640625" customWidth="1"/>
  </cols>
  <sheetData>
    <row r="1" spans="1:13" s="1" customFormat="1" ht="32" x14ac:dyDescent="0.2">
      <c r="A1" s="385" t="s">
        <v>0</v>
      </c>
      <c r="B1" s="386"/>
      <c r="C1" s="386"/>
      <c r="D1" s="386"/>
      <c r="E1" s="386"/>
      <c r="F1" s="387"/>
      <c r="G1" s="13" t="s">
        <v>1</v>
      </c>
      <c r="H1" s="13" t="s">
        <v>2</v>
      </c>
      <c r="I1" s="13" t="s">
        <v>3</v>
      </c>
      <c r="J1" s="13" t="s">
        <v>4</v>
      </c>
      <c r="K1" s="13" t="s">
        <v>5</v>
      </c>
      <c r="L1" s="13" t="s">
        <v>6</v>
      </c>
      <c r="M1" s="13" t="s">
        <v>155</v>
      </c>
    </row>
    <row r="2" spans="1:13" s="2" customFormat="1" x14ac:dyDescent="0.2">
      <c r="A2" s="388">
        <v>1</v>
      </c>
      <c r="B2" s="389"/>
      <c r="C2" s="389"/>
      <c r="D2" s="389"/>
      <c r="E2" s="389"/>
      <c r="F2" s="390"/>
      <c r="G2" s="14">
        <v>2</v>
      </c>
      <c r="H2" s="13">
        <v>3</v>
      </c>
      <c r="I2" s="13">
        <v>4</v>
      </c>
      <c r="J2" s="14">
        <v>5</v>
      </c>
      <c r="K2" s="14">
        <v>6</v>
      </c>
      <c r="L2" s="13">
        <v>7</v>
      </c>
      <c r="M2" s="13">
        <v>8</v>
      </c>
    </row>
    <row r="3" spans="1:13" s="81" customFormat="1" x14ac:dyDescent="0.2">
      <c r="A3" s="77" t="s">
        <v>7</v>
      </c>
      <c r="B3" s="391" t="s">
        <v>8</v>
      </c>
      <c r="C3" s="392"/>
      <c r="D3" s="392"/>
      <c r="E3" s="392"/>
      <c r="F3" s="392"/>
      <c r="G3" s="78">
        <f>AVERAGE(G4,G69,G145)</f>
        <v>100</v>
      </c>
      <c r="H3" s="79"/>
      <c r="I3" s="247"/>
      <c r="J3" s="78"/>
      <c r="K3" s="78">
        <f>AVERAGE(K4,K69,K145)</f>
        <v>100</v>
      </c>
      <c r="L3" s="314"/>
      <c r="M3" s="80"/>
    </row>
    <row r="4" spans="1:13" s="87" customFormat="1" x14ac:dyDescent="0.2">
      <c r="A4" s="82"/>
      <c r="B4" s="82" t="s">
        <v>9</v>
      </c>
      <c r="C4" s="162" t="s">
        <v>10</v>
      </c>
      <c r="D4" s="187"/>
      <c r="E4" s="163"/>
      <c r="F4" s="249"/>
      <c r="G4" s="83">
        <f>AVERAGE(G5,G42,G48,G51,G55,G60,G63,G66)</f>
        <v>100</v>
      </c>
      <c r="H4" s="84"/>
      <c r="I4" s="86"/>
      <c r="J4" s="85"/>
      <c r="K4" s="83">
        <f>AVERAGE(K5,K42,K48,K51,K55,K60,K63,K66)</f>
        <v>100</v>
      </c>
      <c r="L4" s="86"/>
      <c r="M4" s="86"/>
    </row>
    <row r="5" spans="1:13" s="105" customFormat="1" ht="32" x14ac:dyDescent="0.2">
      <c r="A5" s="121"/>
      <c r="B5" s="121"/>
      <c r="C5" s="121" t="s">
        <v>11</v>
      </c>
      <c r="D5" s="352" t="s">
        <v>12</v>
      </c>
      <c r="E5" s="353"/>
      <c r="F5" s="353"/>
      <c r="G5" s="122">
        <f>G6+G22+G37</f>
        <v>100</v>
      </c>
      <c r="H5" s="128" t="s">
        <v>13</v>
      </c>
      <c r="I5" s="251"/>
      <c r="J5" s="208"/>
      <c r="K5" s="122">
        <f>K6+K22+K37</f>
        <v>100</v>
      </c>
      <c r="L5" s="267"/>
      <c r="M5" s="130"/>
    </row>
    <row r="6" spans="1:13" s="81" customFormat="1" x14ac:dyDescent="0.2">
      <c r="A6" s="88"/>
      <c r="B6" s="88"/>
      <c r="C6" s="94"/>
      <c r="D6" s="94" t="s">
        <v>244</v>
      </c>
      <c r="E6" s="393" t="s">
        <v>16</v>
      </c>
      <c r="F6" s="394"/>
      <c r="G6" s="89">
        <v>50</v>
      </c>
      <c r="H6" s="90"/>
      <c r="I6" s="91"/>
      <c r="J6" s="164"/>
      <c r="K6" s="89">
        <f>AVERAGE(K7:K21)*G6%</f>
        <v>50</v>
      </c>
      <c r="L6" s="99"/>
      <c r="M6" s="99"/>
    </row>
    <row r="7" spans="1:13" s="87" customFormat="1" ht="409.6" x14ac:dyDescent="0.2">
      <c r="A7" s="88"/>
      <c r="B7" s="88"/>
      <c r="C7" s="95"/>
      <c r="D7" s="95"/>
      <c r="E7" s="96" t="s">
        <v>17</v>
      </c>
      <c r="F7" s="291" t="s">
        <v>173</v>
      </c>
      <c r="G7" s="97"/>
      <c r="H7" s="292" t="s">
        <v>198</v>
      </c>
      <c r="I7" s="293" t="s">
        <v>108</v>
      </c>
      <c r="J7" s="294" t="s">
        <v>69</v>
      </c>
      <c r="K7" s="295">
        <f>IF(I7="A/B/C/D",IF(J7="A",100,IF(J7="B",65,IF(J7="C",35,IF(J7="D",0,"Blm Diisi")))))</f>
        <v>100</v>
      </c>
      <c r="L7" s="292" t="s">
        <v>292</v>
      </c>
      <c r="M7" s="99" t="s">
        <v>15</v>
      </c>
    </row>
    <row r="8" spans="1:13" s="87" customFormat="1" ht="92.25" customHeight="1" x14ac:dyDescent="0.2">
      <c r="A8" s="88"/>
      <c r="B8" s="88"/>
      <c r="C8" s="95"/>
      <c r="D8" s="95"/>
      <c r="E8" s="96" t="s">
        <v>21</v>
      </c>
      <c r="F8" s="291" t="s">
        <v>174</v>
      </c>
      <c r="G8" s="97"/>
      <c r="H8" s="292" t="s">
        <v>175</v>
      </c>
      <c r="I8" s="100" t="s">
        <v>19</v>
      </c>
      <c r="J8" s="97" t="s">
        <v>20</v>
      </c>
      <c r="K8" s="97">
        <f>IF(I8="Ya/Tidak",IF(J8="Ya",100,IF(J8="Tidak",0,"Blm Diisi")))</f>
        <v>100</v>
      </c>
      <c r="L8" s="291" t="s">
        <v>293</v>
      </c>
      <c r="M8" s="99" t="s">
        <v>15</v>
      </c>
    </row>
    <row r="9" spans="1:13" s="87" customFormat="1" ht="144" x14ac:dyDescent="0.2">
      <c r="A9" s="88"/>
      <c r="B9" s="88"/>
      <c r="C9" s="95"/>
      <c r="D9" s="95"/>
      <c r="E9" s="96" t="s">
        <v>23</v>
      </c>
      <c r="F9" s="296" t="s">
        <v>18</v>
      </c>
      <c r="G9" s="97"/>
      <c r="H9" s="292" t="s">
        <v>207</v>
      </c>
      <c r="I9" s="293" t="s">
        <v>108</v>
      </c>
      <c r="J9" s="294" t="s">
        <v>69</v>
      </c>
      <c r="K9" s="295">
        <f t="shared" ref="K9:K11" si="0">IF(I9="A/B/C/D",IF(J9="A",100,IF(J9="B",65,IF(J9="C",35,IF(J9="D",0,"Blm Diisi")))))</f>
        <v>100</v>
      </c>
      <c r="L9" s="291" t="s">
        <v>294</v>
      </c>
      <c r="M9" s="99" t="s">
        <v>15</v>
      </c>
    </row>
    <row r="10" spans="1:13" s="87" customFormat="1" ht="128" x14ac:dyDescent="0.2">
      <c r="A10" s="88"/>
      <c r="B10" s="88"/>
      <c r="C10" s="95"/>
      <c r="D10" s="95"/>
      <c r="E10" s="96" t="s">
        <v>24</v>
      </c>
      <c r="F10" s="291" t="s">
        <v>176</v>
      </c>
      <c r="G10" s="97"/>
      <c r="H10" s="292" t="s">
        <v>206</v>
      </c>
      <c r="I10" s="293" t="s">
        <v>108</v>
      </c>
      <c r="J10" s="294" t="s">
        <v>69</v>
      </c>
      <c r="K10" s="295">
        <f t="shared" si="0"/>
        <v>100</v>
      </c>
      <c r="L10" s="291" t="s">
        <v>295</v>
      </c>
      <c r="M10" s="99" t="s">
        <v>15</v>
      </c>
    </row>
    <row r="11" spans="1:13" s="87" customFormat="1" ht="182" x14ac:dyDescent="0.2">
      <c r="A11" s="88"/>
      <c r="B11" s="88"/>
      <c r="C11" s="95"/>
      <c r="D11" s="95"/>
      <c r="E11" s="96" t="s">
        <v>26</v>
      </c>
      <c r="F11" s="291" t="s">
        <v>22</v>
      </c>
      <c r="G11" s="97"/>
      <c r="H11" s="292" t="s">
        <v>236</v>
      </c>
      <c r="I11" s="293" t="s">
        <v>108</v>
      </c>
      <c r="J11" s="294" t="s">
        <v>69</v>
      </c>
      <c r="K11" s="295">
        <f t="shared" si="0"/>
        <v>100</v>
      </c>
      <c r="L11" s="291" t="s">
        <v>465</v>
      </c>
      <c r="M11" s="99" t="s">
        <v>15</v>
      </c>
    </row>
    <row r="12" spans="1:13" s="87" customFormat="1" ht="64" x14ac:dyDescent="0.2">
      <c r="A12" s="88"/>
      <c r="B12" s="88"/>
      <c r="C12" s="95"/>
      <c r="D12" s="95"/>
      <c r="E12" s="96" t="s">
        <v>28</v>
      </c>
      <c r="F12" s="291" t="s">
        <v>177</v>
      </c>
      <c r="G12" s="97"/>
      <c r="H12" s="292" t="s">
        <v>178</v>
      </c>
      <c r="I12" s="100" t="s">
        <v>19</v>
      </c>
      <c r="J12" s="97" t="s">
        <v>20</v>
      </c>
      <c r="K12" s="97">
        <f t="shared" ref="K12:K21" si="1">IF(I12="Ya/Tidak",IF(J12="Ya",100,IF(J12="Tidak",0,"Blm Diisi")))</f>
        <v>100</v>
      </c>
      <c r="L12" s="291" t="s">
        <v>296</v>
      </c>
      <c r="M12" s="99" t="s">
        <v>15</v>
      </c>
    </row>
    <row r="13" spans="1:13" s="87" customFormat="1" ht="80" x14ac:dyDescent="0.2">
      <c r="A13" s="88"/>
      <c r="B13" s="88"/>
      <c r="C13" s="95"/>
      <c r="D13" s="95"/>
      <c r="E13" s="96" t="s">
        <v>29</v>
      </c>
      <c r="F13" s="291" t="s">
        <v>25</v>
      </c>
      <c r="G13" s="97"/>
      <c r="H13" s="292" t="s">
        <v>179</v>
      </c>
      <c r="I13" s="100" t="s">
        <v>19</v>
      </c>
      <c r="J13" s="97" t="s">
        <v>20</v>
      </c>
      <c r="K13" s="97">
        <f t="shared" si="1"/>
        <v>100</v>
      </c>
      <c r="L13" s="291" t="s">
        <v>297</v>
      </c>
      <c r="M13" s="99" t="s">
        <v>15</v>
      </c>
    </row>
    <row r="14" spans="1:13" s="87" customFormat="1" ht="80" x14ac:dyDescent="0.2">
      <c r="A14" s="88"/>
      <c r="B14" s="88"/>
      <c r="C14" s="95"/>
      <c r="D14" s="95"/>
      <c r="E14" s="96" t="s">
        <v>32</v>
      </c>
      <c r="F14" s="291" t="s">
        <v>27</v>
      </c>
      <c r="G14" s="97"/>
      <c r="H14" s="292" t="s">
        <v>180</v>
      </c>
      <c r="I14" s="100" t="s">
        <v>19</v>
      </c>
      <c r="J14" s="97" t="s">
        <v>20</v>
      </c>
      <c r="K14" s="97">
        <f t="shared" si="1"/>
        <v>100</v>
      </c>
      <c r="L14" s="291" t="s">
        <v>298</v>
      </c>
      <c r="M14" s="99" t="s">
        <v>15</v>
      </c>
    </row>
    <row r="15" spans="1:13" s="87" customFormat="1" ht="80" x14ac:dyDescent="0.2">
      <c r="A15" s="88"/>
      <c r="B15" s="88"/>
      <c r="C15" s="95"/>
      <c r="D15" s="95"/>
      <c r="E15" s="96" t="s">
        <v>33</v>
      </c>
      <c r="F15" s="291" t="s">
        <v>181</v>
      </c>
      <c r="G15" s="97"/>
      <c r="H15" s="292" t="s">
        <v>182</v>
      </c>
      <c r="I15" s="100" t="s">
        <v>19</v>
      </c>
      <c r="J15" s="97" t="s">
        <v>20</v>
      </c>
      <c r="K15" s="97">
        <f t="shared" si="1"/>
        <v>100</v>
      </c>
      <c r="L15" s="291" t="s">
        <v>299</v>
      </c>
      <c r="M15" s="99" t="s">
        <v>15</v>
      </c>
    </row>
    <row r="16" spans="1:13" s="87" customFormat="1" ht="32" x14ac:dyDescent="0.2">
      <c r="A16" s="88"/>
      <c r="B16" s="88"/>
      <c r="C16" s="95"/>
      <c r="D16" s="95"/>
      <c r="E16" s="96" t="s">
        <v>34</v>
      </c>
      <c r="F16" s="291" t="s">
        <v>30</v>
      </c>
      <c r="G16" s="97"/>
      <c r="H16" s="292" t="s">
        <v>31</v>
      </c>
      <c r="I16" s="100" t="s">
        <v>19</v>
      </c>
      <c r="J16" s="97" t="s">
        <v>20</v>
      </c>
      <c r="K16" s="97">
        <f t="shared" si="1"/>
        <v>100</v>
      </c>
      <c r="L16" s="291" t="s">
        <v>300</v>
      </c>
      <c r="M16" s="99" t="s">
        <v>15</v>
      </c>
    </row>
    <row r="17" spans="1:72" s="87" customFormat="1" ht="48" x14ac:dyDescent="0.2">
      <c r="A17" s="88"/>
      <c r="B17" s="88"/>
      <c r="C17" s="95"/>
      <c r="D17" s="95"/>
      <c r="E17" s="96" t="s">
        <v>37</v>
      </c>
      <c r="F17" s="291" t="s">
        <v>237</v>
      </c>
      <c r="G17" s="97"/>
      <c r="H17" s="292" t="s">
        <v>238</v>
      </c>
      <c r="I17" s="100" t="s">
        <v>19</v>
      </c>
      <c r="J17" s="97" t="s">
        <v>20</v>
      </c>
      <c r="K17" s="97">
        <f t="shared" si="1"/>
        <v>100</v>
      </c>
      <c r="L17" s="291" t="s">
        <v>301</v>
      </c>
      <c r="M17" s="99" t="s">
        <v>15</v>
      </c>
    </row>
    <row r="18" spans="1:72" s="87" customFormat="1" ht="48" x14ac:dyDescent="0.2">
      <c r="A18" s="88"/>
      <c r="B18" s="88"/>
      <c r="C18" s="95"/>
      <c r="D18" s="95"/>
      <c r="E18" s="297" t="s">
        <v>183</v>
      </c>
      <c r="F18" s="298" t="s">
        <v>302</v>
      </c>
      <c r="G18" s="175"/>
      <c r="H18" s="299" t="s">
        <v>303</v>
      </c>
      <c r="I18" s="137" t="s">
        <v>19</v>
      </c>
      <c r="J18" s="175" t="s">
        <v>20</v>
      </c>
      <c r="K18" s="175">
        <f t="shared" si="1"/>
        <v>100</v>
      </c>
      <c r="L18" s="298" t="s">
        <v>304</v>
      </c>
      <c r="M18" s="99" t="s">
        <v>15</v>
      </c>
    </row>
    <row r="19" spans="1:72" s="87" customFormat="1" ht="80" x14ac:dyDescent="0.2">
      <c r="A19" s="88"/>
      <c r="B19" s="88"/>
      <c r="C19" s="95"/>
      <c r="D19" s="95"/>
      <c r="E19" s="96" t="s">
        <v>52</v>
      </c>
      <c r="F19" s="291" t="s">
        <v>184</v>
      </c>
      <c r="G19" s="97"/>
      <c r="H19" s="292" t="s">
        <v>305</v>
      </c>
      <c r="I19" s="100" t="s">
        <v>19</v>
      </c>
      <c r="J19" s="97" t="s">
        <v>20</v>
      </c>
      <c r="K19" s="97">
        <f t="shared" si="1"/>
        <v>100</v>
      </c>
      <c r="L19" s="291" t="s">
        <v>306</v>
      </c>
      <c r="M19" s="99" t="s">
        <v>15</v>
      </c>
    </row>
    <row r="20" spans="1:72" s="87" customFormat="1" ht="32" x14ac:dyDescent="0.2">
      <c r="A20" s="88"/>
      <c r="B20" s="88"/>
      <c r="C20" s="95"/>
      <c r="D20" s="95"/>
      <c r="E20" s="96" t="s">
        <v>54</v>
      </c>
      <c r="F20" s="291" t="s">
        <v>35</v>
      </c>
      <c r="G20" s="97"/>
      <c r="H20" s="292" t="s">
        <v>36</v>
      </c>
      <c r="I20" s="100" t="s">
        <v>19</v>
      </c>
      <c r="J20" s="97" t="s">
        <v>20</v>
      </c>
      <c r="K20" s="97">
        <f t="shared" si="1"/>
        <v>100</v>
      </c>
      <c r="L20" s="291" t="s">
        <v>307</v>
      </c>
      <c r="M20" s="99" t="s">
        <v>15</v>
      </c>
    </row>
    <row r="21" spans="1:72" s="87" customFormat="1" ht="32" x14ac:dyDescent="0.2">
      <c r="A21" s="88"/>
      <c r="B21" s="88"/>
      <c r="C21" s="95"/>
      <c r="D21" s="95"/>
      <c r="E21" s="96" t="s">
        <v>308</v>
      </c>
      <c r="F21" s="291" t="s">
        <v>38</v>
      </c>
      <c r="G21" s="97"/>
      <c r="H21" s="292" t="s">
        <v>39</v>
      </c>
      <c r="I21" s="100" t="s">
        <v>19</v>
      </c>
      <c r="J21" s="97" t="s">
        <v>20</v>
      </c>
      <c r="K21" s="97">
        <f t="shared" si="1"/>
        <v>100</v>
      </c>
      <c r="L21" s="291" t="s">
        <v>309</v>
      </c>
      <c r="M21" s="99" t="s">
        <v>15</v>
      </c>
    </row>
    <row r="22" spans="1:72" s="93" customFormat="1" x14ac:dyDescent="0.2">
      <c r="A22" s="88"/>
      <c r="B22" s="88"/>
      <c r="C22" s="88"/>
      <c r="D22" s="94" t="s">
        <v>245</v>
      </c>
      <c r="E22" s="348" t="s">
        <v>40</v>
      </c>
      <c r="F22" s="349"/>
      <c r="G22" s="89">
        <v>30</v>
      </c>
      <c r="H22" s="90"/>
      <c r="I22" s="91"/>
      <c r="J22" s="164"/>
      <c r="K22" s="89">
        <f>AVERAGE(K23:K36)*G22%</f>
        <v>30</v>
      </c>
      <c r="L22" s="99"/>
      <c r="M22" s="99"/>
      <c r="N22" s="81"/>
      <c r="O22" s="81"/>
      <c r="P22" s="81"/>
      <c r="Q22" s="81"/>
      <c r="R22" s="81"/>
      <c r="S22" s="81"/>
      <c r="T22" s="81"/>
      <c r="U22" s="81"/>
      <c r="V22" s="81"/>
      <c r="W22" s="81"/>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c r="BK22" s="81"/>
      <c r="BL22" s="81"/>
      <c r="BM22" s="81"/>
      <c r="BN22" s="81"/>
      <c r="BO22" s="81"/>
      <c r="BP22" s="81"/>
      <c r="BQ22" s="81"/>
      <c r="BR22" s="81"/>
      <c r="BS22" s="81"/>
      <c r="BT22" s="81"/>
    </row>
    <row r="23" spans="1:72" s="87" customFormat="1" ht="48" x14ac:dyDescent="0.2">
      <c r="A23" s="88"/>
      <c r="B23" s="88"/>
      <c r="C23" s="95"/>
      <c r="D23" s="95"/>
      <c r="E23" s="96" t="s">
        <v>17</v>
      </c>
      <c r="F23" s="291" t="s">
        <v>41</v>
      </c>
      <c r="G23" s="97"/>
      <c r="H23" s="292" t="s">
        <v>185</v>
      </c>
      <c r="I23" s="100" t="s">
        <v>19</v>
      </c>
      <c r="J23" s="97" t="s">
        <v>20</v>
      </c>
      <c r="K23" s="97">
        <f t="shared" ref="K23:K36" si="2">IF(I23="Ya/Tidak",IF(J23="Ya",100,IF(J23="Tidak",0,"Blm Diisi")))</f>
        <v>100</v>
      </c>
      <c r="L23" s="291" t="s">
        <v>314</v>
      </c>
      <c r="M23" s="99" t="s">
        <v>15</v>
      </c>
    </row>
    <row r="24" spans="1:72" s="87" customFormat="1" ht="48" x14ac:dyDescent="0.2">
      <c r="A24" s="88"/>
      <c r="B24" s="88"/>
      <c r="C24" s="95"/>
      <c r="D24" s="95"/>
      <c r="E24" s="96" t="s">
        <v>21</v>
      </c>
      <c r="F24" s="291" t="s">
        <v>42</v>
      </c>
      <c r="G24" s="97"/>
      <c r="H24" s="292" t="s">
        <v>186</v>
      </c>
      <c r="I24" s="100" t="s">
        <v>19</v>
      </c>
      <c r="J24" s="97" t="s">
        <v>20</v>
      </c>
      <c r="K24" s="97">
        <f t="shared" si="2"/>
        <v>100</v>
      </c>
      <c r="L24" s="291" t="s">
        <v>315</v>
      </c>
      <c r="M24" s="99" t="s">
        <v>15</v>
      </c>
    </row>
    <row r="25" spans="1:72" s="87" customFormat="1" ht="48" x14ac:dyDescent="0.2">
      <c r="A25" s="88"/>
      <c r="B25" s="88"/>
      <c r="C25" s="95"/>
      <c r="D25" s="95"/>
      <c r="E25" s="96" t="s">
        <v>23</v>
      </c>
      <c r="F25" s="291" t="s">
        <v>43</v>
      </c>
      <c r="G25" s="97"/>
      <c r="H25" s="292" t="s">
        <v>187</v>
      </c>
      <c r="I25" s="100" t="s">
        <v>19</v>
      </c>
      <c r="J25" s="97" t="s">
        <v>20</v>
      </c>
      <c r="K25" s="97">
        <f t="shared" si="2"/>
        <v>100</v>
      </c>
      <c r="L25" s="291" t="s">
        <v>316</v>
      </c>
      <c r="M25" s="99" t="s">
        <v>15</v>
      </c>
    </row>
    <row r="26" spans="1:72" s="87" customFormat="1" ht="32" x14ac:dyDescent="0.2">
      <c r="A26" s="88"/>
      <c r="B26" s="88"/>
      <c r="C26" s="95"/>
      <c r="D26" s="95"/>
      <c r="E26" s="96" t="s">
        <v>24</v>
      </c>
      <c r="F26" s="291" t="s">
        <v>44</v>
      </c>
      <c r="G26" s="97"/>
      <c r="H26" s="292" t="s">
        <v>188</v>
      </c>
      <c r="I26" s="100" t="s">
        <v>19</v>
      </c>
      <c r="J26" s="97" t="s">
        <v>20</v>
      </c>
      <c r="K26" s="97">
        <f t="shared" si="2"/>
        <v>100</v>
      </c>
      <c r="L26" s="291" t="s">
        <v>317</v>
      </c>
      <c r="M26" s="99" t="s">
        <v>15</v>
      </c>
    </row>
    <row r="27" spans="1:72" s="87" customFormat="1" ht="64" x14ac:dyDescent="0.2">
      <c r="A27" s="88"/>
      <c r="B27" s="88"/>
      <c r="C27" s="95"/>
      <c r="D27" s="95"/>
      <c r="E27" s="96" t="s">
        <v>26</v>
      </c>
      <c r="F27" s="291" t="s">
        <v>45</v>
      </c>
      <c r="G27" s="97"/>
      <c r="H27" s="292" t="s">
        <v>466</v>
      </c>
      <c r="I27" s="100" t="s">
        <v>19</v>
      </c>
      <c r="J27" s="97" t="s">
        <v>20</v>
      </c>
      <c r="K27" s="97">
        <f t="shared" si="2"/>
        <v>100</v>
      </c>
      <c r="L27" s="291" t="s">
        <v>467</v>
      </c>
      <c r="M27" s="99" t="s">
        <v>15</v>
      </c>
    </row>
    <row r="28" spans="1:72" s="87" customFormat="1" ht="32" x14ac:dyDescent="0.2">
      <c r="A28" s="88"/>
      <c r="B28" s="88"/>
      <c r="C28" s="95"/>
      <c r="D28" s="95"/>
      <c r="E28" s="96" t="s">
        <v>28</v>
      </c>
      <c r="F28" s="291" t="s">
        <v>46</v>
      </c>
      <c r="G28" s="97"/>
      <c r="H28" s="292" t="s">
        <v>469</v>
      </c>
      <c r="I28" s="100" t="s">
        <v>19</v>
      </c>
      <c r="J28" s="97" t="s">
        <v>20</v>
      </c>
      <c r="K28" s="97">
        <f t="shared" si="2"/>
        <v>100</v>
      </c>
      <c r="L28" s="291" t="s">
        <v>468</v>
      </c>
      <c r="M28" s="99" t="s">
        <v>15</v>
      </c>
    </row>
    <row r="29" spans="1:72" s="87" customFormat="1" ht="32" x14ac:dyDescent="0.2">
      <c r="A29" s="88"/>
      <c r="B29" s="88"/>
      <c r="C29" s="95"/>
      <c r="D29" s="95"/>
      <c r="E29" s="96" t="s">
        <v>29</v>
      </c>
      <c r="F29" s="291" t="s">
        <v>47</v>
      </c>
      <c r="G29" s="97"/>
      <c r="H29" s="292" t="s">
        <v>470</v>
      </c>
      <c r="I29" s="100" t="s">
        <v>19</v>
      </c>
      <c r="J29" s="97" t="s">
        <v>20</v>
      </c>
      <c r="K29" s="97">
        <f t="shared" si="2"/>
        <v>100</v>
      </c>
      <c r="L29" s="291" t="s">
        <v>318</v>
      </c>
      <c r="M29" s="99" t="s">
        <v>15</v>
      </c>
    </row>
    <row r="30" spans="1:72" s="87" customFormat="1" ht="32" x14ac:dyDescent="0.2">
      <c r="A30" s="88"/>
      <c r="B30" s="88"/>
      <c r="C30" s="95"/>
      <c r="D30" s="95"/>
      <c r="E30" s="96" t="s">
        <v>32</v>
      </c>
      <c r="F30" s="291" t="s">
        <v>48</v>
      </c>
      <c r="G30" s="97"/>
      <c r="H30" s="292" t="s">
        <v>189</v>
      </c>
      <c r="I30" s="100" t="s">
        <v>19</v>
      </c>
      <c r="J30" s="97" t="s">
        <v>20</v>
      </c>
      <c r="K30" s="97">
        <f t="shared" si="2"/>
        <v>100</v>
      </c>
      <c r="L30" s="291" t="s">
        <v>319</v>
      </c>
      <c r="M30" s="99" t="s">
        <v>15</v>
      </c>
    </row>
    <row r="31" spans="1:72" s="87" customFormat="1" ht="48" x14ac:dyDescent="0.2">
      <c r="A31" s="88"/>
      <c r="B31" s="88"/>
      <c r="C31" s="95"/>
      <c r="D31" s="95"/>
      <c r="E31" s="96" t="s">
        <v>33</v>
      </c>
      <c r="F31" s="291" t="s">
        <v>49</v>
      </c>
      <c r="G31" s="97"/>
      <c r="H31" s="292" t="s">
        <v>471</v>
      </c>
      <c r="I31" s="100" t="s">
        <v>19</v>
      </c>
      <c r="J31" s="97" t="s">
        <v>20</v>
      </c>
      <c r="K31" s="97">
        <f t="shared" si="2"/>
        <v>100</v>
      </c>
      <c r="L31" s="291" t="s">
        <v>320</v>
      </c>
      <c r="M31" s="99" t="s">
        <v>15</v>
      </c>
    </row>
    <row r="32" spans="1:72" s="87" customFormat="1" ht="32" x14ac:dyDescent="0.2">
      <c r="A32" s="88"/>
      <c r="B32" s="88"/>
      <c r="C32" s="95"/>
      <c r="D32" s="95"/>
      <c r="E32" s="96" t="s">
        <v>34</v>
      </c>
      <c r="F32" s="291" t="s">
        <v>50</v>
      </c>
      <c r="G32" s="97"/>
      <c r="H32" s="292" t="s">
        <v>472</v>
      </c>
      <c r="I32" s="100" t="s">
        <v>19</v>
      </c>
      <c r="J32" s="97" t="s">
        <v>20</v>
      </c>
      <c r="K32" s="97">
        <f t="shared" si="2"/>
        <v>100</v>
      </c>
      <c r="L32" s="291" t="s">
        <v>473</v>
      </c>
      <c r="M32" s="99" t="s">
        <v>15</v>
      </c>
    </row>
    <row r="33" spans="1:13" s="87" customFormat="1" ht="32" x14ac:dyDescent="0.2">
      <c r="A33" s="88"/>
      <c r="B33" s="88"/>
      <c r="C33" s="95"/>
      <c r="D33" s="95"/>
      <c r="E33" s="96" t="s">
        <v>37</v>
      </c>
      <c r="F33" s="291" t="s">
        <v>51</v>
      </c>
      <c r="G33" s="97"/>
      <c r="H33" s="292" t="s">
        <v>190</v>
      </c>
      <c r="I33" s="100" t="s">
        <v>19</v>
      </c>
      <c r="J33" s="97" t="s">
        <v>20</v>
      </c>
      <c r="K33" s="97">
        <f t="shared" si="2"/>
        <v>100</v>
      </c>
      <c r="L33" s="291" t="s">
        <v>321</v>
      </c>
      <c r="M33" s="99" t="s">
        <v>15</v>
      </c>
    </row>
    <row r="34" spans="1:13" s="87" customFormat="1" ht="32" x14ac:dyDescent="0.2">
      <c r="A34" s="88"/>
      <c r="B34" s="88"/>
      <c r="C34" s="95"/>
      <c r="D34" s="95"/>
      <c r="E34" s="96" t="s">
        <v>183</v>
      </c>
      <c r="F34" s="291" t="s">
        <v>191</v>
      </c>
      <c r="G34" s="97"/>
      <c r="H34" s="292" t="s">
        <v>322</v>
      </c>
      <c r="I34" s="100" t="s">
        <v>19</v>
      </c>
      <c r="J34" s="97" t="s">
        <v>20</v>
      </c>
      <c r="K34" s="97">
        <f t="shared" si="2"/>
        <v>100</v>
      </c>
      <c r="L34" s="291" t="s">
        <v>323</v>
      </c>
      <c r="M34" s="99" t="s">
        <v>15</v>
      </c>
    </row>
    <row r="35" spans="1:13" s="87" customFormat="1" ht="96" x14ac:dyDescent="0.2">
      <c r="A35" s="88"/>
      <c r="B35" s="88"/>
      <c r="C35" s="95"/>
      <c r="D35" s="95"/>
      <c r="E35" s="96" t="s">
        <v>52</v>
      </c>
      <c r="F35" s="291" t="s">
        <v>53</v>
      </c>
      <c r="G35" s="97"/>
      <c r="H35" s="292" t="s">
        <v>192</v>
      </c>
      <c r="I35" s="100" t="s">
        <v>19</v>
      </c>
      <c r="J35" s="97" t="s">
        <v>20</v>
      </c>
      <c r="K35" s="97">
        <f t="shared" si="2"/>
        <v>100</v>
      </c>
      <c r="L35" s="291" t="s">
        <v>324</v>
      </c>
      <c r="M35" s="99" t="s">
        <v>15</v>
      </c>
    </row>
    <row r="36" spans="1:13" s="87" customFormat="1" ht="64" x14ac:dyDescent="0.2">
      <c r="A36" s="88"/>
      <c r="B36" s="88"/>
      <c r="C36" s="95"/>
      <c r="D36" s="95"/>
      <c r="E36" s="96" t="s">
        <v>54</v>
      </c>
      <c r="F36" s="300" t="s">
        <v>325</v>
      </c>
      <c r="G36" s="301"/>
      <c r="H36" s="302" t="s">
        <v>326</v>
      </c>
      <c r="I36" s="303" t="s">
        <v>19</v>
      </c>
      <c r="J36" s="301" t="s">
        <v>20</v>
      </c>
      <c r="K36" s="301">
        <f t="shared" si="2"/>
        <v>100</v>
      </c>
      <c r="L36" s="300" t="s">
        <v>327</v>
      </c>
      <c r="M36" s="99" t="s">
        <v>15</v>
      </c>
    </row>
    <row r="37" spans="1:13" s="87" customFormat="1" x14ac:dyDescent="0.2">
      <c r="A37" s="88"/>
      <c r="B37" s="88"/>
      <c r="C37" s="193"/>
      <c r="D37" s="194" t="s">
        <v>246</v>
      </c>
      <c r="E37" s="399" t="s">
        <v>193</v>
      </c>
      <c r="F37" s="400"/>
      <c r="G37" s="196">
        <v>20</v>
      </c>
      <c r="H37" s="252"/>
      <c r="I37" s="252"/>
      <c r="J37" s="195"/>
      <c r="K37" s="196">
        <f>AVERAGE(K38:K41)*G37%</f>
        <v>20</v>
      </c>
      <c r="L37" s="99"/>
      <c r="M37" s="99"/>
    </row>
    <row r="38" spans="1:13" s="87" customFormat="1" ht="80" x14ac:dyDescent="0.2">
      <c r="A38" s="88"/>
      <c r="B38" s="88"/>
      <c r="C38" s="193"/>
      <c r="D38" s="192"/>
      <c r="E38" s="96" t="s">
        <v>17</v>
      </c>
      <c r="F38" s="291" t="s">
        <v>194</v>
      </c>
      <c r="G38" s="304"/>
      <c r="H38" s="305" t="s">
        <v>239</v>
      </c>
      <c r="I38" s="306" t="s">
        <v>14</v>
      </c>
      <c r="J38" s="307">
        <v>100</v>
      </c>
      <c r="K38" s="308">
        <f t="shared" ref="K38:K40" si="3">J38</f>
        <v>100</v>
      </c>
      <c r="L38" s="291" t="s">
        <v>310</v>
      </c>
      <c r="M38" s="99" t="s">
        <v>15</v>
      </c>
    </row>
    <row r="39" spans="1:13" s="87" customFormat="1" ht="80" x14ac:dyDescent="0.2">
      <c r="A39" s="88"/>
      <c r="B39" s="88"/>
      <c r="C39" s="193"/>
      <c r="D39" s="194"/>
      <c r="E39" s="96" t="s">
        <v>21</v>
      </c>
      <c r="F39" s="292" t="s">
        <v>195</v>
      </c>
      <c r="G39" s="304"/>
      <c r="H39" s="305" t="s">
        <v>240</v>
      </c>
      <c r="I39" s="306" t="s">
        <v>14</v>
      </c>
      <c r="J39" s="307">
        <v>100</v>
      </c>
      <c r="K39" s="308">
        <f t="shared" si="3"/>
        <v>100</v>
      </c>
      <c r="L39" s="309" t="s">
        <v>311</v>
      </c>
      <c r="M39" s="99" t="s">
        <v>15</v>
      </c>
    </row>
    <row r="40" spans="1:13" s="87" customFormat="1" ht="48" x14ac:dyDescent="0.2">
      <c r="A40" s="88"/>
      <c r="B40" s="88"/>
      <c r="C40" s="193"/>
      <c r="D40" s="192"/>
      <c r="E40" s="96" t="s">
        <v>23</v>
      </c>
      <c r="F40" s="291" t="s">
        <v>196</v>
      </c>
      <c r="G40" s="304"/>
      <c r="H40" s="305" t="s">
        <v>241</v>
      </c>
      <c r="I40" s="306" t="s">
        <v>14</v>
      </c>
      <c r="J40" s="307">
        <v>100</v>
      </c>
      <c r="K40" s="308">
        <f t="shared" si="3"/>
        <v>100</v>
      </c>
      <c r="L40" s="309" t="s">
        <v>312</v>
      </c>
      <c r="M40" s="99" t="s">
        <v>15</v>
      </c>
    </row>
    <row r="41" spans="1:13" s="87" customFormat="1" ht="112" x14ac:dyDescent="0.2">
      <c r="A41" s="88"/>
      <c r="B41" s="88"/>
      <c r="C41" s="193"/>
      <c r="D41" s="197"/>
      <c r="E41" s="307" t="s">
        <v>24</v>
      </c>
      <c r="F41" s="305" t="s">
        <v>197</v>
      </c>
      <c r="G41" s="304"/>
      <c r="H41" s="305" t="s">
        <v>242</v>
      </c>
      <c r="I41" s="101" t="s">
        <v>68</v>
      </c>
      <c r="J41" s="96" t="s">
        <v>69</v>
      </c>
      <c r="K41" s="308">
        <f>IF(J41="E",0,IF(J41="D",25,IF(J41="C",50, IF(J41="B",75,100))))</f>
        <v>100</v>
      </c>
      <c r="L41" s="309" t="s">
        <v>313</v>
      </c>
      <c r="M41" s="99" t="s">
        <v>15</v>
      </c>
    </row>
  </sheetData>
  <mergeCells count="7">
    <mergeCell ref="E37:F37"/>
    <mergeCell ref="A1:F1"/>
    <mergeCell ref="A2:F2"/>
    <mergeCell ref="B3:F3"/>
    <mergeCell ref="D5:F5"/>
    <mergeCell ref="E6:F6"/>
    <mergeCell ref="E22:F22"/>
  </mergeCells>
  <dataValidations count="3">
    <dataValidation type="list" allowBlank="1" showErrorMessage="1" sqref="J12:J21 J8 J23:J36" xr:uid="{7BC48306-7451-4CFE-917F-A4E455C499F8}">
      <formula1>"Ya,Tidak"</formula1>
    </dataValidation>
    <dataValidation type="list" allowBlank="1" showErrorMessage="1" sqref="J41" xr:uid="{48F96281-4C57-4245-BBED-F98F893B869A}">
      <formula1>"A,B,C,D,E"</formula1>
    </dataValidation>
    <dataValidation type="list" allowBlank="1" showErrorMessage="1" sqref="J7 J9:J11" xr:uid="{3FC90CB8-0078-42CC-BF02-41B18C769EE4}">
      <formula1>"A,B,C,D"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DASHBOARD IRB PD</vt:lpstr>
      <vt:lpstr>INSTRUMEN INDIKATOR</vt:lpstr>
      <vt:lpstr>INDIKATOR EVALUASI SPBE OPD</vt:lpstr>
      <vt:lpstr>'DASHBOARD IRB PD'!Print_Area</vt:lpstr>
      <vt:lpstr>'INSTRUMEN INDIKATOR'!Print_Area</vt:lpstr>
      <vt:lpstr>'DASHBOARD IRB PD'!Print_Titles</vt:lpstr>
      <vt:lpstr>'INSTRUMEN INDIKATOR'!Print_Titles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Rifki Hidayat</cp:lastModifiedBy>
  <cp:lastPrinted>2023-10-11T10:40:54Z</cp:lastPrinted>
  <dcterms:created xsi:type="dcterms:W3CDTF">2023-07-04T13:07:57Z</dcterms:created>
  <dcterms:modified xsi:type="dcterms:W3CDTF">2025-01-08T14:09:58Z</dcterms:modified>
</cp:coreProperties>
</file>